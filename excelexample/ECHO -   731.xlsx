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viddonneys/Downloads/"/>
    </mc:Choice>
  </mc:AlternateContent>
  <xr:revisionPtr revIDLastSave="0" documentId="8_{EC7538F8-51DD-0544-AA82-926C84FB8DB7}" xr6:coauthVersionLast="47" xr6:coauthVersionMax="47" xr10:uidLastSave="{00000000-0000-0000-0000-000000000000}"/>
  <bookViews>
    <workbookView xWindow="4420" yWindow="780" windowWidth="29040" windowHeight="15720" xr2:uid="{6D7B640B-A15E-49A3-BF0D-054E2300F55F}"/>
  </bookViews>
  <sheets>
    <sheet name="Comparativo" sheetId="1" r:id="rId1"/>
    <sheet name="Tabla Evaluación" sheetId="2" r:id="rId2"/>
    <sheet name="Hoja1" sheetId="10" r:id="rId3"/>
    <sheet name="Hoja7" sheetId="9" r:id="rId4"/>
    <sheet name="LUMIRA " sheetId="5" r:id="rId5"/>
    <sheet name="ENSALUD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2" l="1"/>
  <c r="P13" i="10"/>
  <c r="P12" i="10"/>
  <c r="P11" i="10"/>
  <c r="P10" i="10"/>
  <c r="P14" i="10" l="1"/>
  <c r="P17" i="10" s="1"/>
  <c r="D8" i="2" l="1"/>
  <c r="C8" i="2"/>
  <c r="H10" i="10"/>
  <c r="L13" i="10" l="1"/>
  <c r="H13" i="10"/>
  <c r="L12" i="10"/>
  <c r="H12" i="10"/>
  <c r="L11" i="10"/>
  <c r="H11" i="10"/>
  <c r="L10" i="10"/>
  <c r="L14" i="10" l="1"/>
  <c r="L17" i="10"/>
  <c r="H14" i="10"/>
  <c r="H17" i="10" s="1"/>
  <c r="Q35" i="1" l="1"/>
  <c r="R35" i="1"/>
  <c r="R26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7" i="1"/>
  <c r="R28" i="1"/>
  <c r="R29" i="1"/>
  <c r="R30" i="1"/>
  <c r="R31" i="1"/>
  <c r="R32" i="1"/>
  <c r="R33" i="1"/>
  <c r="R34" i="1"/>
  <c r="R36" i="1"/>
  <c r="R37" i="1"/>
  <c r="R38" i="1"/>
  <c r="R39" i="1"/>
  <c r="R40" i="1"/>
  <c r="R41" i="1"/>
  <c r="R42" i="1"/>
  <c r="R43" i="1"/>
  <c r="R44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N10" i="1" l="1"/>
  <c r="N45" i="1" s="1"/>
  <c r="N48" i="1" l="1"/>
  <c r="R10" i="1"/>
  <c r="J10" i="1"/>
  <c r="J45" i="1" s="1"/>
  <c r="J48" i="1" l="1"/>
</calcChain>
</file>

<file path=xl/sharedStrings.xml><?xml version="1.0" encoding="utf-8"?>
<sst xmlns="http://schemas.openxmlformats.org/spreadsheetml/2006/main" count="351" uniqueCount="123">
  <si>
    <t>BUDGET
LINE</t>
  </si>
  <si>
    <t>DETALLE</t>
  </si>
  <si>
    <t>Detail/Detalle</t>
  </si>
  <si>
    <t>Presentación</t>
  </si>
  <si>
    <t>COMPARACIÓN</t>
  </si>
  <si>
    <t>Novedad</t>
  </si>
  <si>
    <t>Decisión</t>
  </si>
  <si>
    <t>Unidad</t>
  </si>
  <si>
    <t>Cantidad</t>
  </si>
  <si>
    <t>Precio Unitario</t>
  </si>
  <si>
    <t>Precio Total</t>
  </si>
  <si>
    <t>IVA</t>
  </si>
  <si>
    <t>TOTAL</t>
  </si>
  <si>
    <t>SUBTOTAL</t>
  </si>
  <si>
    <t>DESCUENTO</t>
  </si>
  <si>
    <t>QTY
Cantidad Solicitada</t>
  </si>
  <si>
    <t>NIT. 900168662-2</t>
  </si>
  <si>
    <t>TABLA DE EVALUACIÓN (EG)</t>
  </si>
  <si>
    <t>Referencia</t>
  </si>
  <si>
    <t>25</t>
  </si>
  <si>
    <t>COL</t>
  </si>
  <si>
    <t>Página:  ….../……..</t>
  </si>
  <si>
    <t>Año (AA)</t>
  </si>
  <si>
    <t>País (PA)</t>
  </si>
  <si>
    <t>MONEDA</t>
  </si>
  <si>
    <t>COP</t>
  </si>
  <si>
    <t>Fecha de evaluación</t>
  </si>
  <si>
    <t>FECHA DE ELABORACIÓN</t>
  </si>
  <si>
    <t>Criterios</t>
  </si>
  <si>
    <t>Especificaciones requeridas por BH</t>
  </si>
  <si>
    <t>REQUERIMIENTO OFERTA</t>
  </si>
  <si>
    <t>EL PROVEEDOR OFERTA TODO LO REQUERIDO</t>
  </si>
  <si>
    <t>TIEMPO DE ENTREGA</t>
  </si>
  <si>
    <t xml:space="preserve">SE REQUIERE QUE EL PROVEEDOR REALICE EL TRABAJO EN 2 DIAS HABILES </t>
  </si>
  <si>
    <t>CALIDAD</t>
  </si>
  <si>
    <t>SE REQUIERE QUE EL PROVEEDOR OFREZCA  CALIDAD</t>
  </si>
  <si>
    <t>PRECIO TOTAL</t>
  </si>
  <si>
    <t xml:space="preserve">PRECIO TOTAL DE LOS INSUMOS </t>
  </si>
  <si>
    <t xml:space="preserve">FORMA DE PAGO </t>
  </si>
  <si>
    <t xml:space="preserve">TRANSFERENCIA </t>
  </si>
  <si>
    <t>Los firmantes declaran no tener intereses personales relacionados con los proveedores elegidos.</t>
  </si>
  <si>
    <t>Comité de evaluación</t>
  </si>
  <si>
    <t xml:space="preserve">ELABORADO POR: </t>
  </si>
  <si>
    <t>DIANA HERNANDEZ</t>
  </si>
  <si>
    <t xml:space="preserve">COMPRA APROBADA POR: </t>
  </si>
  <si>
    <t>Base - Sí / No</t>
  </si>
  <si>
    <t xml:space="preserve">OFICIAL DE PROYECTOS: </t>
  </si>
  <si>
    <t>COORDINADORE DE TERRENO: Ana Lucia Lopez</t>
  </si>
  <si>
    <t>Coordinación - Sí / No</t>
  </si>
  <si>
    <t>RESPONSABLE FINANCIERO: Stiven Quiroz</t>
  </si>
  <si>
    <t>UNIDAD</t>
  </si>
  <si>
    <t xml:space="preserve">SOFIA VALDERRUTEM </t>
  </si>
  <si>
    <t>Tubos tapa lila</t>
  </si>
  <si>
    <t>Pruebas de embarazo</t>
  </si>
  <si>
    <t>Prueba rapida Toxoplasma IgG e IgM</t>
  </si>
  <si>
    <t>Prueba rapida VIH</t>
  </si>
  <si>
    <t>Agua destilada</t>
  </si>
  <si>
    <t>Colesterol tol total</t>
  </si>
  <si>
    <t>Guantes talla S Nitrilo</t>
  </si>
  <si>
    <t>Prueba rápida de Hepatitis B</t>
  </si>
  <si>
    <t>Recolectores para orina</t>
  </si>
  <si>
    <t>Tiras reactivas de orina</t>
  </si>
  <si>
    <t xml:space="preserve">Prueba rapida Psa </t>
  </si>
  <si>
    <t>Prueba rapida Hba1c</t>
  </si>
  <si>
    <t>Prueba rapida Microalbuminuria</t>
  </si>
  <si>
    <t>Control Nivel I de Biosystems</t>
  </si>
  <si>
    <t>Control Nivel II de Biosystems</t>
  </si>
  <si>
    <t>Prueba rápida de Hepatitis C</t>
  </si>
  <si>
    <t>Bun UV(Nitrogeno Uréico)</t>
  </si>
  <si>
    <t xml:space="preserve">Colesterol Hdl </t>
  </si>
  <si>
    <t>Ácido Úrico</t>
  </si>
  <si>
    <t>Prueba Rapida de Dengue</t>
  </si>
  <si>
    <t>Pruebe rapida VDRL</t>
  </si>
  <si>
    <t>Prueba rapida Malaria</t>
  </si>
  <si>
    <t>Tubos tapa amarilla</t>
  </si>
  <si>
    <t>Tubos tapa azul</t>
  </si>
  <si>
    <t>Pañitos con alcohol</t>
  </si>
  <si>
    <t>T3 Finecare</t>
  </si>
  <si>
    <t>T4L Finecare</t>
  </si>
  <si>
    <t>PTT marca Wondfo</t>
  </si>
  <si>
    <t>PT marca Wondfo</t>
  </si>
  <si>
    <t xml:space="preserve">Diluyente </t>
  </si>
  <si>
    <t>Lysante para Abacus</t>
  </si>
  <si>
    <t>Detergente para Abacus</t>
  </si>
  <si>
    <t>Control de Hematología  3 niveles: normal, alto, bajo.  Marca DIAGON</t>
  </si>
  <si>
    <t>Gradilla x 100</t>
  </si>
  <si>
    <t>Caja x 25</t>
  </si>
  <si>
    <t>Caja x 30</t>
  </si>
  <si>
    <t>Galón x 20 litros</t>
  </si>
  <si>
    <t>Caja x 50 ml x 2</t>
  </si>
  <si>
    <t>Caja x 100</t>
  </si>
  <si>
    <t>Bolsa x 50</t>
  </si>
  <si>
    <t>Tarro x 100</t>
  </si>
  <si>
    <t>Caja x 5</t>
  </si>
  <si>
    <t>Caja x 3</t>
  </si>
  <si>
    <t xml:space="preserve">Caja 50 ml </t>
  </si>
  <si>
    <t>Botella x 200 ml</t>
  </si>
  <si>
    <t>Caja x 25 pbas</t>
  </si>
  <si>
    <t>Caja x 24 pbas</t>
  </si>
  <si>
    <t>20 Litros</t>
  </si>
  <si>
    <t>1 Litro</t>
  </si>
  <si>
    <t>I.2.4</t>
  </si>
  <si>
    <t>Tarro x 150</t>
  </si>
  <si>
    <t xml:space="preserve">LUMIRA </t>
  </si>
  <si>
    <t>Caja x 100 pbas</t>
  </si>
  <si>
    <t xml:space="preserve">EN SALUD </t>
  </si>
  <si>
    <t>Caja x 10</t>
  </si>
  <si>
    <t xml:space="preserve">IHR </t>
  </si>
  <si>
    <t>OCHA 731</t>
  </si>
  <si>
    <t>Caja x 40</t>
  </si>
  <si>
    <t xml:space="preserve">Hemoclasificadores   A,B </t>
  </si>
  <si>
    <t>Hemoclasificadores   D</t>
  </si>
  <si>
    <t>Debe ser marca Biosystem</t>
  </si>
  <si>
    <t>Cotizconzar con  otro proveedor, cotizaro de latex y son de nitrilo</t>
  </si>
  <si>
    <t>Marca Finecare</t>
  </si>
  <si>
    <t>marca Biosystem</t>
  </si>
  <si>
    <t>Cotizar con disapharma, ellos manejan mejores fechas de vencimientos en este insumo</t>
  </si>
  <si>
    <t>IHR</t>
  </si>
  <si>
    <t>ECHO 731</t>
  </si>
  <si>
    <t>NO OFERTA TODO LO REQUERIDO</t>
  </si>
  <si>
    <t xml:space="preserve">OFERTA LA MAYORIA </t>
  </si>
  <si>
    <t>SALUTI</t>
  </si>
  <si>
    <t>Se decide distribuir la compra con los proveedores IHR, LUMIRA , SALUTI ya que no todos cotizan completo lo solicitado.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</si>
</sst>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&quot;$&quot;\ * #,##0_-;\-&quot;$&quot;\ * #,##0_-;_-&quot;$&quot;\ * &quot;-&quot;_-;_-@_-"/>
    <numFmt numFmtId="165" formatCode="&quot;$&quot;\ #,##0"/>
    <numFmt numFmtId="166" formatCode="_(* #,##0.00_);_(* \(#,##0.00\);_(* &quot;-&quot;??_);_(@_)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0"/>
      <color theme="10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b/>
      <i/>
      <sz val="12"/>
      <name val="Arial"/>
      <family val="2"/>
    </font>
    <font>
      <sz val="8"/>
      <name val="Arial"/>
      <family val="2"/>
    </font>
    <font>
      <b/>
      <i/>
      <sz val="8"/>
      <name val="Arial"/>
      <family val="2"/>
    </font>
    <font>
      <b/>
      <sz val="10"/>
      <name val="Arial"/>
      <family val="2"/>
    </font>
    <font>
      <b/>
      <sz val="10"/>
      <color indexed="9"/>
      <name val="Arial"/>
      <family val="2"/>
    </font>
    <font>
      <b/>
      <sz val="12"/>
      <name val="Arial"/>
      <family val="2"/>
    </font>
    <font>
      <i/>
      <sz val="11"/>
      <name val="Arial"/>
      <family val="2"/>
    </font>
    <font>
      <b/>
      <u/>
      <sz val="11"/>
      <color theme="1"/>
      <name val="Arial"/>
      <family val="2"/>
    </font>
    <font>
      <b/>
      <sz val="11"/>
      <color rgb="FFFF0000"/>
      <name val="Arial"/>
      <family val="2"/>
    </font>
    <font>
      <b/>
      <u/>
      <sz val="10"/>
      <name val="Arial"/>
      <family val="2"/>
    </font>
    <font>
      <b/>
      <u/>
      <sz val="12"/>
      <name val="Arial"/>
      <family val="2"/>
    </font>
    <font>
      <sz val="14"/>
      <color theme="1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9">
    <xf numFmtId="0" fontId="0" fillId="0" borderId="0"/>
    <xf numFmtId="0" fontId="5" fillId="0" borderId="0"/>
    <xf numFmtId="0" fontId="1" fillId="0" borderId="0"/>
    <xf numFmtId="0" fontId="7" fillId="0" borderId="0" applyNumberFormat="0" applyFill="0" applyBorder="0" applyAlignment="0" applyProtection="0"/>
    <xf numFmtId="0" fontId="10" fillId="0" borderId="0"/>
    <xf numFmtId="164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0" fillId="0" borderId="0"/>
    <xf numFmtId="43" fontId="1" fillId="0" borderId="0" applyFont="0" applyFill="0" applyBorder="0" applyAlignment="0" applyProtection="0"/>
    <xf numFmtId="0" fontId="26" fillId="0" borderId="0"/>
    <xf numFmtId="0" fontId="26" fillId="0" borderId="0"/>
    <xf numFmtId="0" fontId="5" fillId="0" borderId="0"/>
    <xf numFmtId="0" fontId="26" fillId="0" borderId="0"/>
    <xf numFmtId="0" fontId="26" fillId="0" borderId="0"/>
    <xf numFmtId="0" fontId="26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39">
    <xf numFmtId="0" fontId="0" fillId="0" borderId="0" xfId="0"/>
    <xf numFmtId="0" fontId="3" fillId="0" borderId="0" xfId="0" applyFont="1"/>
    <xf numFmtId="0" fontId="1" fillId="0" borderId="0" xfId="2"/>
    <xf numFmtId="0" fontId="7" fillId="0" borderId="0" xfId="3" applyAlignment="1">
      <alignment vertical="center"/>
    </xf>
    <xf numFmtId="0" fontId="8" fillId="0" borderId="0" xfId="2" applyFont="1"/>
    <xf numFmtId="0" fontId="9" fillId="0" borderId="0" xfId="2" applyFont="1" applyAlignment="1">
      <alignment horizontal="right" vertical="center"/>
    </xf>
    <xf numFmtId="0" fontId="11" fillId="0" borderId="1" xfId="4" applyFont="1" applyBorder="1" applyAlignment="1">
      <alignment horizontal="center" vertical="center" wrapText="1"/>
    </xf>
    <xf numFmtId="49" fontId="12" fillId="0" borderId="1" xfId="4" applyNumberFormat="1" applyFont="1" applyBorder="1" applyAlignment="1" applyProtection="1">
      <alignment horizontal="center" vertical="center" wrapText="1"/>
      <protection locked="0"/>
    </xf>
    <xf numFmtId="0" fontId="10" fillId="0" borderId="0" xfId="2" applyFont="1" applyAlignment="1" applyProtection="1">
      <alignment horizontal="centerContinuous" vertical="center"/>
      <protection locked="0"/>
    </xf>
    <xf numFmtId="0" fontId="13" fillId="0" borderId="16" xfId="4" applyFont="1" applyBorder="1" applyAlignment="1">
      <alignment horizontal="center" wrapText="1"/>
    </xf>
    <xf numFmtId="49" fontId="14" fillId="0" borderId="4" xfId="4" applyNumberFormat="1" applyFont="1" applyBorder="1" applyAlignment="1">
      <alignment horizontal="center" vertical="center" wrapText="1"/>
    </xf>
    <xf numFmtId="0" fontId="15" fillId="0" borderId="4" xfId="2" applyFont="1" applyBorder="1" applyAlignment="1" applyProtection="1">
      <alignment vertical="center"/>
      <protection locked="0"/>
    </xf>
    <xf numFmtId="0" fontId="15" fillId="0" borderId="6" xfId="2" applyFont="1" applyBorder="1" applyAlignment="1" applyProtection="1">
      <alignment horizontal="center"/>
      <protection locked="0"/>
    </xf>
    <xf numFmtId="0" fontId="10" fillId="0" borderId="0" xfId="2" applyFont="1"/>
    <xf numFmtId="0" fontId="16" fillId="0" borderId="0" xfId="2" applyFont="1" applyAlignment="1" applyProtection="1">
      <alignment vertical="center"/>
      <protection locked="0"/>
    </xf>
    <xf numFmtId="0" fontId="15" fillId="0" borderId="0" xfId="2" applyFont="1" applyAlignment="1" applyProtection="1">
      <alignment horizontal="center"/>
      <protection locked="0"/>
    </xf>
    <xf numFmtId="0" fontId="10" fillId="0" borderId="0" xfId="2" applyFont="1" applyProtection="1">
      <protection locked="0"/>
    </xf>
    <xf numFmtId="0" fontId="15" fillId="0" borderId="23" xfId="2" applyFont="1" applyBorder="1" applyAlignment="1" applyProtection="1">
      <alignment vertical="center"/>
      <protection locked="0"/>
    </xf>
    <xf numFmtId="14" fontId="17" fillId="5" borderId="23" xfId="2" applyNumberFormat="1" applyFont="1" applyFill="1" applyBorder="1" applyAlignment="1">
      <alignment horizontal="center" vertical="center" wrapText="1"/>
    </xf>
    <xf numFmtId="0" fontId="10" fillId="0" borderId="3" xfId="2" applyFont="1" applyBorder="1" applyAlignment="1">
      <alignment horizontal="center" vertical="center" wrapText="1"/>
    </xf>
    <xf numFmtId="0" fontId="0" fillId="0" borderId="4" xfId="6" applyFont="1" applyBorder="1" applyAlignment="1">
      <alignment horizontal="center" vertical="center" wrapText="1"/>
    </xf>
    <xf numFmtId="0" fontId="10" fillId="0" borderId="4" xfId="2" applyFont="1" applyBorder="1" applyAlignment="1">
      <alignment horizontal="center" vertical="center" wrapText="1"/>
    </xf>
    <xf numFmtId="165" fontId="17" fillId="0" borderId="4" xfId="7" applyNumberFormat="1" applyFont="1" applyFill="1" applyBorder="1" applyAlignment="1">
      <alignment horizontal="center" vertical="center" wrapText="1"/>
    </xf>
    <xf numFmtId="0" fontId="10" fillId="0" borderId="0" xfId="2" applyFont="1" applyAlignment="1">
      <alignment horizontal="center" vertical="center" wrapText="1"/>
    </xf>
    <xf numFmtId="0" fontId="18" fillId="0" borderId="0" xfId="2" applyFont="1" applyProtection="1">
      <protection locked="0"/>
    </xf>
    <xf numFmtId="0" fontId="4" fillId="0" borderId="0" xfId="2" applyFont="1"/>
    <xf numFmtId="0" fontId="21" fillId="0" borderId="0" xfId="2" applyFont="1"/>
    <xf numFmtId="0" fontId="8" fillId="0" borderId="0" xfId="2" applyFont="1" applyProtection="1">
      <protection locked="0"/>
    </xf>
    <xf numFmtId="0" fontId="17" fillId="0" borderId="21" xfId="2" applyFont="1" applyBorder="1"/>
    <xf numFmtId="0" fontId="8" fillId="0" borderId="26" xfId="2" applyFont="1" applyBorder="1"/>
    <xf numFmtId="0" fontId="8" fillId="0" borderId="18" xfId="2" applyFont="1" applyBorder="1"/>
    <xf numFmtId="0" fontId="8" fillId="0" borderId="27" xfId="2" applyFont="1" applyBorder="1"/>
    <xf numFmtId="0" fontId="22" fillId="0" borderId="21" xfId="2" applyFont="1" applyBorder="1"/>
    <xf numFmtId="0" fontId="22" fillId="0" borderId="18" xfId="2" applyFont="1" applyBorder="1"/>
    <xf numFmtId="0" fontId="15" fillId="0" borderId="21" xfId="2" applyFont="1" applyBorder="1" applyAlignment="1">
      <alignment vertical="center"/>
    </xf>
    <xf numFmtId="0" fontId="8" fillId="0" borderId="22" xfId="2" applyFont="1" applyBorder="1" applyAlignment="1">
      <alignment vertical="center"/>
    </xf>
    <xf numFmtId="0" fontId="15" fillId="0" borderId="18" xfId="2" applyFont="1" applyBorder="1" applyAlignment="1">
      <alignment horizontal="left"/>
    </xf>
    <xf numFmtId="14" fontId="15" fillId="0" borderId="19" xfId="2" applyNumberFormat="1" applyFont="1" applyBorder="1" applyAlignment="1">
      <alignment horizontal="left"/>
    </xf>
    <xf numFmtId="0" fontId="22" fillId="0" borderId="28" xfId="2" applyFont="1" applyBorder="1"/>
    <xf numFmtId="0" fontId="8" fillId="0" borderId="22" xfId="2" applyFont="1" applyBorder="1"/>
    <xf numFmtId="0" fontId="10" fillId="0" borderId="18" xfId="8" applyBorder="1"/>
    <xf numFmtId="0" fontId="10" fillId="0" borderId="19" xfId="8" applyBorder="1"/>
    <xf numFmtId="43" fontId="23" fillId="0" borderId="3" xfId="9" applyFont="1" applyBorder="1" applyAlignment="1">
      <alignment horizontal="center" vertical="center"/>
    </xf>
    <xf numFmtId="43" fontId="23" fillId="0" borderId="2" xfId="9" applyFont="1" applyBorder="1" applyAlignment="1">
      <alignment horizontal="center" vertical="center"/>
    </xf>
    <xf numFmtId="0" fontId="6" fillId="0" borderId="20" xfId="0" applyFont="1" applyBorder="1"/>
    <xf numFmtId="0" fontId="23" fillId="0" borderId="13" xfId="0" applyFont="1" applyBorder="1"/>
    <xf numFmtId="0" fontId="23" fillId="0" borderId="14" xfId="0" applyFont="1" applyBorder="1"/>
    <xf numFmtId="43" fontId="23" fillId="0" borderId="14" xfId="9" applyFont="1" applyBorder="1"/>
    <xf numFmtId="43" fontId="23" fillId="0" borderId="15" xfId="9" applyFont="1" applyBorder="1"/>
    <xf numFmtId="0" fontId="6" fillId="0" borderId="7" xfId="0" applyFont="1" applyBorder="1"/>
    <xf numFmtId="0" fontId="23" fillId="0" borderId="8" xfId="0" applyFont="1" applyBorder="1"/>
    <xf numFmtId="0" fontId="23" fillId="0" borderId="4" xfId="0" applyFont="1" applyBorder="1"/>
    <xf numFmtId="43" fontId="23" fillId="0" borderId="4" xfId="9" applyFont="1" applyBorder="1"/>
    <xf numFmtId="43" fontId="23" fillId="0" borderId="5" xfId="9" applyFont="1" applyBorder="1"/>
    <xf numFmtId="0" fontId="6" fillId="0" borderId="9" xfId="0" applyFont="1" applyBorder="1"/>
    <xf numFmtId="0" fontId="23" fillId="0" borderId="10" xfId="0" applyFont="1" applyBorder="1"/>
    <xf numFmtId="0" fontId="23" fillId="0" borderId="12" xfId="0" applyFont="1" applyBorder="1"/>
    <xf numFmtId="43" fontId="23" fillId="0" borderId="12" xfId="9" applyFont="1" applyBorder="1"/>
    <xf numFmtId="43" fontId="23" fillId="0" borderId="11" xfId="9" applyFont="1" applyBorder="1"/>
    <xf numFmtId="0" fontId="6" fillId="0" borderId="33" xfId="0" applyFont="1" applyBorder="1"/>
    <xf numFmtId="0" fontId="23" fillId="0" borderId="34" xfId="0" applyFont="1" applyBorder="1"/>
    <xf numFmtId="0" fontId="23" fillId="0" borderId="35" xfId="0" applyFont="1" applyBorder="1" applyAlignment="1">
      <alignment horizontal="center" vertical="center"/>
    </xf>
    <xf numFmtId="0" fontId="23" fillId="0" borderId="36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23" fillId="0" borderId="39" xfId="0" applyFont="1" applyBorder="1" applyAlignment="1">
      <alignment horizontal="center" vertical="center"/>
    </xf>
    <xf numFmtId="0" fontId="3" fillId="4" borderId="30" xfId="0" applyFont="1" applyFill="1" applyBorder="1" applyAlignment="1">
      <alignment horizontal="center" vertical="center"/>
    </xf>
    <xf numFmtId="0" fontId="3" fillId="4" borderId="31" xfId="0" applyFont="1" applyFill="1" applyBorder="1" applyAlignment="1">
      <alignment horizontal="center" vertical="center"/>
    </xf>
    <xf numFmtId="0" fontId="3" fillId="4" borderId="32" xfId="0" applyFont="1" applyFill="1" applyBorder="1" applyAlignment="1">
      <alignment horizontal="center" vertical="center" wrapText="1"/>
    </xf>
    <xf numFmtId="0" fontId="2" fillId="3" borderId="44" xfId="0" applyFont="1" applyFill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3" fillId="4" borderId="30" xfId="0" applyFont="1" applyFill="1" applyBorder="1" applyAlignment="1">
      <alignment horizontal="center" vertical="center" wrapText="1"/>
    </xf>
    <xf numFmtId="0" fontId="3" fillId="4" borderId="31" xfId="0" applyFont="1" applyFill="1" applyBorder="1" applyAlignment="1">
      <alignment horizontal="center" vertical="center" wrapText="1"/>
    </xf>
    <xf numFmtId="0" fontId="24" fillId="0" borderId="4" xfId="0" applyFont="1" applyBorder="1" applyAlignment="1">
      <alignment vertical="center" wrapText="1"/>
    </xf>
    <xf numFmtId="0" fontId="24" fillId="0" borderId="45" xfId="0" applyFont="1" applyBorder="1" applyAlignment="1">
      <alignment horizontal="center" vertical="center" wrapText="1"/>
    </xf>
    <xf numFmtId="0" fontId="24" fillId="0" borderId="45" xfId="0" applyFont="1" applyBorder="1" applyAlignment="1">
      <alignment horizontal="center" vertical="center"/>
    </xf>
    <xf numFmtId="43" fontId="24" fillId="0" borderId="45" xfId="9" applyFont="1" applyBorder="1" applyAlignment="1">
      <alignment horizontal="center" vertical="center"/>
    </xf>
    <xf numFmtId="0" fontId="24" fillId="5" borderId="45" xfId="0" applyFont="1" applyFill="1" applyBorder="1" applyAlignment="1">
      <alignment horizontal="center" vertical="center"/>
    </xf>
    <xf numFmtId="43" fontId="23" fillId="5" borderId="3" xfId="9" applyFont="1" applyFill="1" applyBorder="1" applyAlignment="1">
      <alignment horizontal="center" vertical="center"/>
    </xf>
    <xf numFmtId="43" fontId="23" fillId="5" borderId="2" xfId="9" applyFont="1" applyFill="1" applyBorder="1" applyAlignment="1">
      <alignment horizontal="center" vertical="center"/>
    </xf>
    <xf numFmtId="43" fontId="24" fillId="5" borderId="45" xfId="9" applyFont="1" applyFill="1" applyBorder="1" applyAlignment="1">
      <alignment horizontal="center" vertical="center"/>
    </xf>
    <xf numFmtId="0" fontId="23" fillId="6" borderId="35" xfId="0" applyFont="1" applyFill="1" applyBorder="1" applyAlignment="1">
      <alignment horizontal="center" vertical="center" wrapText="1"/>
    </xf>
    <xf numFmtId="0" fontId="23" fillId="6" borderId="35" xfId="0" applyFont="1" applyFill="1" applyBorder="1" applyAlignment="1">
      <alignment horizontal="center" vertical="center"/>
    </xf>
    <xf numFmtId="0" fontId="23" fillId="0" borderId="35" xfId="0" applyFont="1" applyBorder="1" applyAlignment="1">
      <alignment horizontal="center" vertical="center" wrapText="1"/>
    </xf>
    <xf numFmtId="43" fontId="24" fillId="7" borderId="45" xfId="9" applyFont="1" applyFill="1" applyBorder="1" applyAlignment="1">
      <alignment horizontal="center" vertical="center"/>
    </xf>
    <xf numFmtId="43" fontId="23" fillId="7" borderId="2" xfId="9" applyFont="1" applyFill="1" applyBorder="1" applyAlignment="1">
      <alignment horizontal="center" vertical="center"/>
    </xf>
    <xf numFmtId="43" fontId="23" fillId="7" borderId="3" xfId="9" applyFont="1" applyFill="1" applyBorder="1" applyAlignment="1">
      <alignment horizontal="center" vertical="center"/>
    </xf>
    <xf numFmtId="0" fontId="3" fillId="4" borderId="40" xfId="0" applyFont="1" applyFill="1" applyBorder="1" applyAlignment="1">
      <alignment horizontal="center" vertical="center"/>
    </xf>
    <xf numFmtId="0" fontId="3" fillId="4" borderId="41" xfId="0" applyFont="1" applyFill="1" applyBorder="1" applyAlignment="1">
      <alignment horizontal="center" vertical="center"/>
    </xf>
    <xf numFmtId="0" fontId="3" fillId="4" borderId="42" xfId="0" applyFont="1" applyFill="1" applyBorder="1" applyAlignment="1">
      <alignment horizontal="center" vertical="center" wrapText="1"/>
    </xf>
    <xf numFmtId="0" fontId="27" fillId="7" borderId="45" xfId="11" applyFont="1" applyFill="1" applyBorder="1" applyAlignment="1">
      <alignment horizontal="center" vertical="center" wrapText="1"/>
    </xf>
    <xf numFmtId="0" fontId="27" fillId="7" borderId="45" xfId="11" applyFont="1" applyFill="1" applyBorder="1" applyAlignment="1">
      <alignment horizontal="center" vertical="center"/>
    </xf>
    <xf numFmtId="0" fontId="19" fillId="0" borderId="0" xfId="2" applyFont="1" applyAlignment="1">
      <alignment horizontal="left"/>
    </xf>
    <xf numFmtId="0" fontId="23" fillId="7" borderId="39" xfId="0" applyFont="1" applyFill="1" applyBorder="1" applyAlignment="1">
      <alignment horizontal="center" vertical="center"/>
    </xf>
    <xf numFmtId="0" fontId="27" fillId="7" borderId="4" xfId="10" applyFont="1" applyFill="1" applyBorder="1" applyAlignment="1">
      <alignment vertical="center" wrapText="1"/>
    </xf>
    <xf numFmtId="43" fontId="0" fillId="0" borderId="0" xfId="0" applyNumberFormat="1"/>
    <xf numFmtId="0" fontId="17" fillId="0" borderId="24" xfId="2" applyFont="1" applyBorder="1"/>
    <xf numFmtId="0" fontId="8" fillId="0" borderId="25" xfId="2" applyFont="1" applyBorder="1"/>
    <xf numFmtId="0" fontId="8" fillId="0" borderId="29" xfId="2" applyFont="1" applyBorder="1"/>
    <xf numFmtId="0" fontId="15" fillId="0" borderId="24" xfId="2" applyFont="1" applyBorder="1" applyAlignment="1">
      <alignment horizontal="left" vertical="center"/>
    </xf>
    <xf numFmtId="0" fontId="15" fillId="0" borderId="25" xfId="2" applyFont="1" applyBorder="1" applyAlignment="1">
      <alignment horizontal="left"/>
    </xf>
    <xf numFmtId="0" fontId="8" fillId="0" borderId="24" xfId="2" applyFont="1" applyBorder="1"/>
    <xf numFmtId="0" fontId="15" fillId="0" borderId="24" xfId="8" applyFont="1" applyBorder="1" applyAlignment="1">
      <alignment horizontal="left" vertical="center" wrapText="1"/>
    </xf>
    <xf numFmtId="0" fontId="10" fillId="0" borderId="25" xfId="8" applyBorder="1"/>
    <xf numFmtId="49" fontId="14" fillId="0" borderId="1" xfId="4" applyNumberFormat="1" applyFont="1" applyBorder="1" applyAlignment="1">
      <alignment horizontal="center" vertical="center" wrapText="1"/>
    </xf>
    <xf numFmtId="0" fontId="0" fillId="0" borderId="4" xfId="0" applyBorder="1"/>
    <xf numFmtId="0" fontId="6" fillId="0" borderId="4" xfId="0" applyFont="1" applyBorder="1" applyAlignment="1">
      <alignment horizontal="center"/>
    </xf>
    <xf numFmtId="0" fontId="15" fillId="0" borderId="24" xfId="2" applyFont="1" applyBorder="1" applyAlignment="1">
      <alignment horizontal="center" vertical="center"/>
    </xf>
    <xf numFmtId="0" fontId="15" fillId="0" borderId="25" xfId="2" applyFont="1" applyBorder="1" applyAlignment="1">
      <alignment horizontal="center" vertical="center"/>
    </xf>
    <xf numFmtId="0" fontId="20" fillId="0" borderId="16" xfId="2" applyFont="1" applyBorder="1" applyAlignment="1" applyProtection="1">
      <alignment vertical="center" wrapText="1"/>
      <protection locked="0"/>
    </xf>
    <xf numFmtId="0" fontId="15" fillId="0" borderId="21" xfId="8" applyFont="1" applyBorder="1" applyAlignment="1">
      <alignment horizontal="left" vertical="center" wrapText="1"/>
    </xf>
    <xf numFmtId="0" fontId="15" fillId="0" borderId="22" xfId="8" applyFont="1" applyBorder="1" applyAlignment="1">
      <alignment horizontal="left" vertical="center" wrapText="1"/>
    </xf>
    <xf numFmtId="0" fontId="15" fillId="0" borderId="17" xfId="8" applyFont="1" applyBorder="1" applyAlignment="1">
      <alignment horizontal="left" wrapText="1"/>
    </xf>
    <xf numFmtId="0" fontId="15" fillId="0" borderId="0" xfId="8" applyFont="1" applyAlignment="1">
      <alignment horizontal="left" wrapText="1"/>
    </xf>
    <xf numFmtId="0" fontId="15" fillId="0" borderId="46" xfId="8" applyFont="1" applyBorder="1" applyAlignment="1">
      <alignment horizontal="center" wrapText="1"/>
    </xf>
    <xf numFmtId="0" fontId="8" fillId="0" borderId="30" xfId="2" applyFont="1" applyBorder="1" applyAlignment="1">
      <alignment horizontal="center" vertical="center" wrapText="1"/>
    </xf>
    <xf numFmtId="0" fontId="8" fillId="0" borderId="31" xfId="2" applyFont="1" applyBorder="1" applyAlignment="1">
      <alignment horizontal="center" vertical="center" wrapText="1"/>
    </xf>
    <xf numFmtId="0" fontId="19" fillId="0" borderId="0" xfId="2" applyFont="1" applyAlignment="1">
      <alignment horizontal="left"/>
    </xf>
    <xf numFmtId="0" fontId="15" fillId="0" borderId="24" xfId="2" applyFont="1" applyBorder="1" applyAlignment="1">
      <alignment horizontal="center" vertical="center" wrapText="1"/>
    </xf>
    <xf numFmtId="0" fontId="15" fillId="0" borderId="25" xfId="2" applyFont="1" applyBorder="1" applyAlignment="1">
      <alignment horizontal="center" vertical="center" wrapText="1"/>
    </xf>
    <xf numFmtId="0" fontId="15" fillId="0" borderId="21" xfId="2" applyFont="1" applyBorder="1" applyAlignment="1">
      <alignment horizontal="center" vertical="center"/>
    </xf>
    <xf numFmtId="0" fontId="15" fillId="0" borderId="18" xfId="2" applyFont="1" applyBorder="1" applyAlignment="1">
      <alignment horizontal="center" vertical="center"/>
    </xf>
    <xf numFmtId="0" fontId="3" fillId="2" borderId="40" xfId="0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horizontal="center" vertical="center"/>
    </xf>
    <xf numFmtId="0" fontId="3" fillId="2" borderId="42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29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0" borderId="27" xfId="0" applyFont="1" applyBorder="1" applyAlignment="1">
      <alignment horizontal="center"/>
    </xf>
    <xf numFmtId="0" fontId="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/>
    </xf>
    <xf numFmtId="0" fontId="3" fillId="2" borderId="40" xfId="0" applyFont="1" applyFill="1" applyBorder="1" applyAlignment="1">
      <alignment horizontal="center" vertical="center" wrapText="1"/>
    </xf>
    <xf numFmtId="0" fontId="3" fillId="2" borderId="41" xfId="0" applyFont="1" applyFill="1" applyBorder="1" applyAlignment="1">
      <alignment horizontal="center" vertical="center" wrapText="1"/>
    </xf>
    <xf numFmtId="0" fontId="3" fillId="2" borderId="42" xfId="0" applyFont="1" applyFill="1" applyBorder="1" applyAlignment="1">
      <alignment horizontal="center" vertical="center" wrapText="1"/>
    </xf>
    <xf numFmtId="0" fontId="3" fillId="2" borderId="37" xfId="0" applyFont="1" applyFill="1" applyBorder="1" applyAlignment="1">
      <alignment horizontal="center" vertical="center" wrapText="1"/>
    </xf>
    <xf numFmtId="0" fontId="3" fillId="2" borderId="38" xfId="0" applyFont="1" applyFill="1" applyBorder="1" applyAlignment="1">
      <alignment horizontal="center" vertical="center" wrapText="1"/>
    </xf>
    <xf numFmtId="0" fontId="2" fillId="3" borderId="43" xfId="0" applyFont="1" applyFill="1" applyBorder="1" applyAlignment="1">
      <alignment horizontal="center" vertical="center"/>
    </xf>
    <xf numFmtId="0" fontId="2" fillId="3" borderId="42" xfId="0" applyFont="1" applyFill="1" applyBorder="1" applyAlignment="1">
      <alignment horizontal="center" vertical="center"/>
    </xf>
  </cellXfs>
  <cellStyles count="19">
    <cellStyle name="Comma" xfId="9" builtinId="3"/>
    <cellStyle name="Hyperlink" xfId="3" builtinId="8"/>
    <cellStyle name="Millares 2" xfId="18" xr:uid="{3A62B58C-78DD-4C15-BC6F-13513548ACFF}"/>
    <cellStyle name="Millares 2 2 2" xfId="7" xr:uid="{360336E6-9403-4563-9BFA-BE6FA8E844D5}"/>
    <cellStyle name="Millares 2 2 2 2" xfId="17" xr:uid="{608BAED9-C0E5-43AB-AA76-2979F3FDAB3E}"/>
    <cellStyle name="Moneda [0] 2 3 2" xfId="5" xr:uid="{A3F53AF7-B72C-49D5-976D-8DADDBF02E71}"/>
    <cellStyle name="Moneda [0] 2 3 2 2" xfId="16" xr:uid="{D4B66EF9-65C3-4C4D-B5AB-F2208DB2066C}"/>
    <cellStyle name="Normal" xfId="0" builtinId="0"/>
    <cellStyle name="Normal 2" xfId="4" xr:uid="{37B74B68-2058-4B59-A770-C77162CADC48}"/>
    <cellStyle name="Normal 2 2" xfId="12" xr:uid="{ADB048F2-469D-498C-B7E1-54E4D9C5DF33}"/>
    <cellStyle name="Normal 2 3" xfId="11" xr:uid="{4A6E8F22-2982-49A5-82C2-66BFD156B076}"/>
    <cellStyle name="Normal 3" xfId="13" xr:uid="{ED9F44D4-FED1-42A7-B3BE-8592A82767B4}"/>
    <cellStyle name="Normal 3 3 2" xfId="2" xr:uid="{0A7A75A5-4FFF-4CC6-AC88-9C1994F6BA23}"/>
    <cellStyle name="Normal 3 3 2 2" xfId="6" xr:uid="{400A06E3-4FF6-4831-8460-957B55D5165B}"/>
    <cellStyle name="Normal 4" xfId="8" xr:uid="{1D459EFD-58AE-43B2-8982-C0DCF9F16746}"/>
    <cellStyle name="Normal 4 2" xfId="14" xr:uid="{28FAE92C-BE0B-43F8-B8E3-FB1C7C036FE3}"/>
    <cellStyle name="Normal 5" xfId="15" xr:uid="{BDB49C5A-A585-496C-AD06-D8AB10B7A5AE}"/>
    <cellStyle name="Normal 6" xfId="10" xr:uid="{46A272D5-DC22-49DD-9168-5F9CF756383B}"/>
    <cellStyle name="Normal 7" xfId="1" xr:uid="{4236AAF2-29F4-4E3D-B1C0-A0FC85C7E9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590550</xdr:colOff>
      <xdr:row>0</xdr:row>
      <xdr:rowOff>171451</xdr:rowOff>
    </xdr:from>
    <xdr:to>
      <xdr:col>1</xdr:col>
      <xdr:colOff>1866900</xdr:colOff>
      <xdr:row>4</xdr:row>
      <xdr:rowOff>169713</xdr:rowOff>
    </xdr:to>
    <xdr:pic>
      <xdr:nvPicPr>
        <xdr:cNvPr id="36345" name="0 Imagen">
          <a:extLst>
            <a:ext uri="{FF2B5EF4-FFF2-40B4-BE49-F238E27FC236}">
              <a16:creationId xmlns:a16="http://schemas.microsoft.com/office/drawing/2014/main" id="{21C07DD9-3EFA-4668-9030-DA0E83AD0F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07" t="8849" b="7716"/>
        <a:stretch>
          <a:fillRect/>
        </a:stretch>
      </xdr:blipFill>
      <xdr:spPr bwMode="auto">
        <a:xfrm>
          <a:off x="590550" y="171451"/>
          <a:ext cx="2038350" cy="7602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58316</xdr:colOff>
      <xdr:row>8</xdr:row>
      <xdr:rowOff>476250</xdr:rowOff>
    </xdr:from>
    <xdr:to>
      <xdr:col>2</xdr:col>
      <xdr:colOff>363116</xdr:colOff>
      <xdr:row>9</xdr:row>
      <xdr:rowOff>132792</xdr:rowOff>
    </xdr:to>
    <xdr:sp macro="" textlink="">
      <xdr:nvSpPr>
        <xdr:cNvPr id="2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C8B75840-DCCC-47CE-905B-527DF8C2ABD4}"/>
            </a:ext>
          </a:extLst>
        </xdr:cNvPr>
        <xdr:cNvSpPr>
          <a:spLocks noChangeAspect="1" noChangeArrowheads="1"/>
        </xdr:cNvSpPr>
      </xdr:nvSpPr>
      <xdr:spPr bwMode="auto">
        <a:xfrm>
          <a:off x="4792241" y="5019675"/>
          <a:ext cx="304800" cy="2981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58316</xdr:colOff>
      <xdr:row>8</xdr:row>
      <xdr:rowOff>476250</xdr:rowOff>
    </xdr:from>
    <xdr:to>
      <xdr:col>2</xdr:col>
      <xdr:colOff>363116</xdr:colOff>
      <xdr:row>9</xdr:row>
      <xdr:rowOff>132792</xdr:rowOff>
    </xdr:to>
    <xdr:sp macro="" textlink="">
      <xdr:nvSpPr>
        <xdr:cNvPr id="3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C60B9273-F915-4F88-AEB0-8305D6098508}"/>
            </a:ext>
          </a:extLst>
        </xdr:cNvPr>
        <xdr:cNvSpPr>
          <a:spLocks noChangeAspect="1" noChangeArrowheads="1"/>
        </xdr:cNvSpPr>
      </xdr:nvSpPr>
      <xdr:spPr bwMode="auto">
        <a:xfrm>
          <a:off x="4792241" y="5019675"/>
          <a:ext cx="304800" cy="2981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58316</xdr:colOff>
      <xdr:row>8</xdr:row>
      <xdr:rowOff>476250</xdr:rowOff>
    </xdr:from>
    <xdr:to>
      <xdr:col>2</xdr:col>
      <xdr:colOff>363116</xdr:colOff>
      <xdr:row>9</xdr:row>
      <xdr:rowOff>132792</xdr:rowOff>
    </xdr:to>
    <xdr:sp macro="" textlink="">
      <xdr:nvSpPr>
        <xdr:cNvPr id="4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019EA455-EED2-466F-9D7A-05B6D5AFA1CF}"/>
            </a:ext>
          </a:extLst>
        </xdr:cNvPr>
        <xdr:cNvSpPr>
          <a:spLocks noChangeAspect="1" noChangeArrowheads="1"/>
        </xdr:cNvSpPr>
      </xdr:nvSpPr>
      <xdr:spPr bwMode="auto">
        <a:xfrm>
          <a:off x="4792241" y="5019675"/>
          <a:ext cx="304800" cy="2981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43</xdr:row>
      <xdr:rowOff>0</xdr:rowOff>
    </xdr:from>
    <xdr:ext cx="304800" cy="314325"/>
    <xdr:sp macro="" textlink="">
      <xdr:nvSpPr>
        <xdr:cNvPr id="5" name="Shape 3" descr="directorio ong Médicos del Mundo Francia México, A.C. - hacesfalta.org.mx">
          <a:extLst>
            <a:ext uri="{FF2B5EF4-FFF2-40B4-BE49-F238E27FC236}">
              <a16:creationId xmlns:a16="http://schemas.microsoft.com/office/drawing/2014/main" id="{7A1D272C-FAA6-412F-B52D-82A9BE00A5B3}"/>
            </a:ext>
          </a:extLst>
        </xdr:cNvPr>
        <xdr:cNvSpPr/>
      </xdr:nvSpPr>
      <xdr:spPr>
        <a:xfrm>
          <a:off x="4733925" y="24298275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twoCellAnchor editAs="oneCell">
    <xdr:from>
      <xdr:col>3</xdr:col>
      <xdr:colOff>58316</xdr:colOff>
      <xdr:row>8</xdr:row>
      <xdr:rowOff>476250</xdr:rowOff>
    </xdr:from>
    <xdr:to>
      <xdr:col>3</xdr:col>
      <xdr:colOff>363116</xdr:colOff>
      <xdr:row>9</xdr:row>
      <xdr:rowOff>680198</xdr:rowOff>
    </xdr:to>
    <xdr:sp macro="" textlink="">
      <xdr:nvSpPr>
        <xdr:cNvPr id="6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E50AC601-1027-4BA7-AD17-61C95B3F6118}"/>
            </a:ext>
          </a:extLst>
        </xdr:cNvPr>
        <xdr:cNvSpPr>
          <a:spLocks noChangeAspect="1" noChangeArrowheads="1"/>
        </xdr:cNvSpPr>
      </xdr:nvSpPr>
      <xdr:spPr bwMode="auto">
        <a:xfrm>
          <a:off x="5573291" y="5019675"/>
          <a:ext cx="304800" cy="8455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58316</xdr:colOff>
      <xdr:row>8</xdr:row>
      <xdr:rowOff>476250</xdr:rowOff>
    </xdr:from>
    <xdr:ext cx="304800" cy="302662"/>
    <xdr:sp macro="" textlink="">
      <xdr:nvSpPr>
        <xdr:cNvPr id="7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5687027D-CB05-4D4C-A373-8B4F8037E992}"/>
            </a:ext>
          </a:extLst>
        </xdr:cNvPr>
        <xdr:cNvSpPr>
          <a:spLocks noChangeAspect="1" noChangeArrowheads="1"/>
        </xdr:cNvSpPr>
      </xdr:nvSpPr>
      <xdr:spPr bwMode="auto">
        <a:xfrm>
          <a:off x="5573291" y="5019675"/>
          <a:ext cx="304800" cy="302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58316</xdr:colOff>
      <xdr:row>8</xdr:row>
      <xdr:rowOff>476250</xdr:rowOff>
    </xdr:from>
    <xdr:ext cx="304800" cy="302662"/>
    <xdr:sp macro="" textlink="">
      <xdr:nvSpPr>
        <xdr:cNvPr id="8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BB138BE1-FA5E-409B-8421-95B9F31CC1BB}"/>
            </a:ext>
          </a:extLst>
        </xdr:cNvPr>
        <xdr:cNvSpPr>
          <a:spLocks noChangeAspect="1" noChangeArrowheads="1"/>
        </xdr:cNvSpPr>
      </xdr:nvSpPr>
      <xdr:spPr bwMode="auto">
        <a:xfrm>
          <a:off x="5573291" y="5019675"/>
          <a:ext cx="304800" cy="302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58316</xdr:colOff>
      <xdr:row>8</xdr:row>
      <xdr:rowOff>476250</xdr:rowOff>
    </xdr:from>
    <xdr:ext cx="304800" cy="302662"/>
    <xdr:sp macro="" textlink="">
      <xdr:nvSpPr>
        <xdr:cNvPr id="9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A5D25CA3-326A-4D36-866F-1488AC9B0856}"/>
            </a:ext>
          </a:extLst>
        </xdr:cNvPr>
        <xdr:cNvSpPr>
          <a:spLocks noChangeAspect="1" noChangeArrowheads="1"/>
        </xdr:cNvSpPr>
      </xdr:nvSpPr>
      <xdr:spPr bwMode="auto">
        <a:xfrm>
          <a:off x="5573291" y="5019675"/>
          <a:ext cx="304800" cy="302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8</xdr:row>
      <xdr:rowOff>476250</xdr:rowOff>
    </xdr:from>
    <xdr:to>
      <xdr:col>3</xdr:col>
      <xdr:colOff>304800</xdr:colOff>
      <xdr:row>9</xdr:row>
      <xdr:rowOff>123267</xdr:rowOff>
    </xdr:to>
    <xdr:sp macro="" textlink="">
      <xdr:nvSpPr>
        <xdr:cNvPr id="10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A767F8EE-92FC-4F35-AAF6-70FE253C32E6}"/>
            </a:ext>
          </a:extLst>
        </xdr:cNvPr>
        <xdr:cNvSpPr>
          <a:spLocks noChangeAspect="1" noChangeArrowheads="1"/>
        </xdr:cNvSpPr>
      </xdr:nvSpPr>
      <xdr:spPr bwMode="auto">
        <a:xfrm>
          <a:off x="5514975" y="5019675"/>
          <a:ext cx="304800" cy="288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47625</xdr:colOff>
      <xdr:row>8</xdr:row>
      <xdr:rowOff>328613</xdr:rowOff>
    </xdr:from>
    <xdr:to>
      <xdr:col>3</xdr:col>
      <xdr:colOff>352425</xdr:colOff>
      <xdr:row>8</xdr:row>
      <xdr:rowOff>616403</xdr:rowOff>
    </xdr:to>
    <xdr:sp macro="" textlink="">
      <xdr:nvSpPr>
        <xdr:cNvPr id="11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70E31021-FC19-4981-8724-6A93E6019DA9}"/>
            </a:ext>
          </a:extLst>
        </xdr:cNvPr>
        <xdr:cNvSpPr>
          <a:spLocks noChangeAspect="1" noChangeArrowheads="1"/>
        </xdr:cNvSpPr>
      </xdr:nvSpPr>
      <xdr:spPr bwMode="auto">
        <a:xfrm>
          <a:off x="5562600" y="4872038"/>
          <a:ext cx="304800" cy="288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58316</xdr:colOff>
      <xdr:row>8</xdr:row>
      <xdr:rowOff>476250</xdr:rowOff>
    </xdr:from>
    <xdr:ext cx="304800" cy="302662"/>
    <xdr:sp macro="" textlink="">
      <xdr:nvSpPr>
        <xdr:cNvPr id="12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67FFEAA0-77CE-4CA8-9820-D92E36C8C093}"/>
            </a:ext>
          </a:extLst>
        </xdr:cNvPr>
        <xdr:cNvSpPr>
          <a:spLocks noChangeAspect="1" noChangeArrowheads="1"/>
        </xdr:cNvSpPr>
      </xdr:nvSpPr>
      <xdr:spPr bwMode="auto">
        <a:xfrm>
          <a:off x="5573291" y="5019675"/>
          <a:ext cx="304800" cy="302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58316</xdr:colOff>
      <xdr:row>8</xdr:row>
      <xdr:rowOff>476250</xdr:rowOff>
    </xdr:from>
    <xdr:ext cx="304800" cy="302662"/>
    <xdr:sp macro="" textlink="">
      <xdr:nvSpPr>
        <xdr:cNvPr id="13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ADE68D3E-5934-46C8-8947-9C2CDC62CFE1}"/>
            </a:ext>
          </a:extLst>
        </xdr:cNvPr>
        <xdr:cNvSpPr>
          <a:spLocks noChangeAspect="1" noChangeArrowheads="1"/>
        </xdr:cNvSpPr>
      </xdr:nvSpPr>
      <xdr:spPr bwMode="auto">
        <a:xfrm>
          <a:off x="5573291" y="5019675"/>
          <a:ext cx="304800" cy="302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58316</xdr:colOff>
      <xdr:row>8</xdr:row>
      <xdr:rowOff>476250</xdr:rowOff>
    </xdr:from>
    <xdr:ext cx="304800" cy="302662"/>
    <xdr:sp macro="" textlink="">
      <xdr:nvSpPr>
        <xdr:cNvPr id="14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E57E0003-7065-4531-8EAD-602DCB7602D9}"/>
            </a:ext>
          </a:extLst>
        </xdr:cNvPr>
        <xdr:cNvSpPr>
          <a:spLocks noChangeAspect="1" noChangeArrowheads="1"/>
        </xdr:cNvSpPr>
      </xdr:nvSpPr>
      <xdr:spPr bwMode="auto">
        <a:xfrm>
          <a:off x="5573291" y="5019675"/>
          <a:ext cx="304800" cy="302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58316</xdr:colOff>
      <xdr:row>8</xdr:row>
      <xdr:rowOff>476250</xdr:rowOff>
    </xdr:from>
    <xdr:ext cx="304800" cy="302662"/>
    <xdr:sp macro="" textlink="">
      <xdr:nvSpPr>
        <xdr:cNvPr id="15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F8A4E9EE-7ABF-4BB2-8564-C68333F2E3C4}"/>
            </a:ext>
          </a:extLst>
        </xdr:cNvPr>
        <xdr:cNvSpPr>
          <a:spLocks noChangeAspect="1" noChangeArrowheads="1"/>
        </xdr:cNvSpPr>
      </xdr:nvSpPr>
      <xdr:spPr bwMode="auto">
        <a:xfrm>
          <a:off x="5573291" y="5019675"/>
          <a:ext cx="304800" cy="302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58316</xdr:colOff>
      <xdr:row>8</xdr:row>
      <xdr:rowOff>476250</xdr:rowOff>
    </xdr:from>
    <xdr:ext cx="304800" cy="302662"/>
    <xdr:sp macro="" textlink="">
      <xdr:nvSpPr>
        <xdr:cNvPr id="16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726544DB-78BF-4021-9D1B-0677659C1B98}"/>
            </a:ext>
          </a:extLst>
        </xdr:cNvPr>
        <xdr:cNvSpPr>
          <a:spLocks noChangeAspect="1" noChangeArrowheads="1"/>
        </xdr:cNvSpPr>
      </xdr:nvSpPr>
      <xdr:spPr bwMode="auto">
        <a:xfrm>
          <a:off x="5573291" y="5019675"/>
          <a:ext cx="304800" cy="302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58316</xdr:colOff>
      <xdr:row>8</xdr:row>
      <xdr:rowOff>476250</xdr:rowOff>
    </xdr:from>
    <xdr:ext cx="304800" cy="302662"/>
    <xdr:sp macro="" textlink="">
      <xdr:nvSpPr>
        <xdr:cNvPr id="17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FD618E61-B321-4FC2-ACCB-ADF7E9B8D032}"/>
            </a:ext>
          </a:extLst>
        </xdr:cNvPr>
        <xdr:cNvSpPr>
          <a:spLocks noChangeAspect="1" noChangeArrowheads="1"/>
        </xdr:cNvSpPr>
      </xdr:nvSpPr>
      <xdr:spPr bwMode="auto">
        <a:xfrm>
          <a:off x="5573291" y="5019675"/>
          <a:ext cx="304800" cy="302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8</xdr:row>
      <xdr:rowOff>476250</xdr:rowOff>
    </xdr:from>
    <xdr:to>
      <xdr:col>3</xdr:col>
      <xdr:colOff>304800</xdr:colOff>
      <xdr:row>9</xdr:row>
      <xdr:rowOff>123267</xdr:rowOff>
    </xdr:to>
    <xdr:sp macro="" textlink="">
      <xdr:nvSpPr>
        <xdr:cNvPr id="18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FAB5F08E-8704-4DD3-A3F2-0FCD6557D7B9}"/>
            </a:ext>
          </a:extLst>
        </xdr:cNvPr>
        <xdr:cNvSpPr>
          <a:spLocks noChangeAspect="1" noChangeArrowheads="1"/>
        </xdr:cNvSpPr>
      </xdr:nvSpPr>
      <xdr:spPr bwMode="auto">
        <a:xfrm>
          <a:off x="5514975" y="5019675"/>
          <a:ext cx="304800" cy="288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47625</xdr:colOff>
      <xdr:row>8</xdr:row>
      <xdr:rowOff>328613</xdr:rowOff>
    </xdr:from>
    <xdr:to>
      <xdr:col>3</xdr:col>
      <xdr:colOff>352425</xdr:colOff>
      <xdr:row>8</xdr:row>
      <xdr:rowOff>616403</xdr:rowOff>
    </xdr:to>
    <xdr:sp macro="" textlink="">
      <xdr:nvSpPr>
        <xdr:cNvPr id="19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44E055E9-22EF-4F2A-AA6F-2C7F07743102}"/>
            </a:ext>
          </a:extLst>
        </xdr:cNvPr>
        <xdr:cNvSpPr>
          <a:spLocks noChangeAspect="1" noChangeArrowheads="1"/>
        </xdr:cNvSpPr>
      </xdr:nvSpPr>
      <xdr:spPr bwMode="auto">
        <a:xfrm>
          <a:off x="5562600" y="4872038"/>
          <a:ext cx="304800" cy="288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58316</xdr:colOff>
      <xdr:row>8</xdr:row>
      <xdr:rowOff>476250</xdr:rowOff>
    </xdr:from>
    <xdr:ext cx="304800" cy="302662"/>
    <xdr:sp macro="" textlink="">
      <xdr:nvSpPr>
        <xdr:cNvPr id="20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554137AC-F144-49B3-B940-CC88A992BDF2}"/>
            </a:ext>
          </a:extLst>
        </xdr:cNvPr>
        <xdr:cNvSpPr>
          <a:spLocks noChangeAspect="1" noChangeArrowheads="1"/>
        </xdr:cNvSpPr>
      </xdr:nvSpPr>
      <xdr:spPr bwMode="auto">
        <a:xfrm>
          <a:off x="5573291" y="5019675"/>
          <a:ext cx="304800" cy="302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58316</xdr:colOff>
      <xdr:row>8</xdr:row>
      <xdr:rowOff>476250</xdr:rowOff>
    </xdr:from>
    <xdr:ext cx="304800" cy="302662"/>
    <xdr:sp macro="" textlink="">
      <xdr:nvSpPr>
        <xdr:cNvPr id="21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B5004C4C-74C0-45D5-B7D0-7E30700D8964}"/>
            </a:ext>
          </a:extLst>
        </xdr:cNvPr>
        <xdr:cNvSpPr>
          <a:spLocks noChangeAspect="1" noChangeArrowheads="1"/>
        </xdr:cNvSpPr>
      </xdr:nvSpPr>
      <xdr:spPr bwMode="auto">
        <a:xfrm>
          <a:off x="5573291" y="5019675"/>
          <a:ext cx="304800" cy="302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58316</xdr:colOff>
      <xdr:row>8</xdr:row>
      <xdr:rowOff>476250</xdr:rowOff>
    </xdr:from>
    <xdr:ext cx="304800" cy="298181"/>
    <xdr:sp macro="" textlink="">
      <xdr:nvSpPr>
        <xdr:cNvPr id="22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28F30564-1E65-4BED-9E13-E47D68D24F43}"/>
            </a:ext>
          </a:extLst>
        </xdr:cNvPr>
        <xdr:cNvSpPr>
          <a:spLocks noChangeAspect="1" noChangeArrowheads="1"/>
        </xdr:cNvSpPr>
      </xdr:nvSpPr>
      <xdr:spPr bwMode="auto">
        <a:xfrm>
          <a:off x="3754016" y="2200275"/>
          <a:ext cx="304800" cy="2981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58316</xdr:colOff>
      <xdr:row>8</xdr:row>
      <xdr:rowOff>476250</xdr:rowOff>
    </xdr:from>
    <xdr:ext cx="304800" cy="298181"/>
    <xdr:sp macro="" textlink="">
      <xdr:nvSpPr>
        <xdr:cNvPr id="23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1C2A778D-4D1C-4BD2-ACAB-6C22148BF880}"/>
            </a:ext>
          </a:extLst>
        </xdr:cNvPr>
        <xdr:cNvSpPr>
          <a:spLocks noChangeAspect="1" noChangeArrowheads="1"/>
        </xdr:cNvSpPr>
      </xdr:nvSpPr>
      <xdr:spPr bwMode="auto">
        <a:xfrm>
          <a:off x="3754016" y="2200275"/>
          <a:ext cx="304800" cy="2981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58316</xdr:colOff>
      <xdr:row>8</xdr:row>
      <xdr:rowOff>476250</xdr:rowOff>
    </xdr:from>
    <xdr:ext cx="304800" cy="298181"/>
    <xdr:sp macro="" textlink="">
      <xdr:nvSpPr>
        <xdr:cNvPr id="24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57602E41-FEDF-4515-91EE-8D29100D31D9}"/>
            </a:ext>
          </a:extLst>
        </xdr:cNvPr>
        <xdr:cNvSpPr>
          <a:spLocks noChangeAspect="1" noChangeArrowheads="1"/>
        </xdr:cNvSpPr>
      </xdr:nvSpPr>
      <xdr:spPr bwMode="auto">
        <a:xfrm>
          <a:off x="3754016" y="2200275"/>
          <a:ext cx="304800" cy="2981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304800" cy="314325"/>
    <xdr:sp macro="" textlink="">
      <xdr:nvSpPr>
        <xdr:cNvPr id="25" name="Shape 3" descr="directorio ong Médicos del Mundo Francia México, A.C. - hacesfalta.org.mx">
          <a:extLst>
            <a:ext uri="{FF2B5EF4-FFF2-40B4-BE49-F238E27FC236}">
              <a16:creationId xmlns:a16="http://schemas.microsoft.com/office/drawing/2014/main" id="{7AA77C2A-7D42-4EEC-A6A4-E078DA2C56B2}"/>
            </a:ext>
          </a:extLst>
        </xdr:cNvPr>
        <xdr:cNvSpPr/>
      </xdr:nvSpPr>
      <xdr:spPr>
        <a:xfrm>
          <a:off x="3695700" y="30813375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58316</xdr:colOff>
      <xdr:row>8</xdr:row>
      <xdr:rowOff>476250</xdr:rowOff>
    </xdr:from>
    <xdr:ext cx="304800" cy="845587"/>
    <xdr:sp macro="" textlink="">
      <xdr:nvSpPr>
        <xdr:cNvPr id="26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F3C17965-40DB-4269-9DB5-3B55E213D32E}"/>
            </a:ext>
          </a:extLst>
        </xdr:cNvPr>
        <xdr:cNvSpPr>
          <a:spLocks noChangeAspect="1" noChangeArrowheads="1"/>
        </xdr:cNvSpPr>
      </xdr:nvSpPr>
      <xdr:spPr bwMode="auto">
        <a:xfrm>
          <a:off x="4592216" y="2200275"/>
          <a:ext cx="304800" cy="8455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58316</xdr:colOff>
      <xdr:row>8</xdr:row>
      <xdr:rowOff>476250</xdr:rowOff>
    </xdr:from>
    <xdr:ext cx="304800" cy="302662"/>
    <xdr:sp macro="" textlink="">
      <xdr:nvSpPr>
        <xdr:cNvPr id="27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4A141E37-B48C-4346-899C-BE114D8C8442}"/>
            </a:ext>
          </a:extLst>
        </xdr:cNvPr>
        <xdr:cNvSpPr>
          <a:spLocks noChangeAspect="1" noChangeArrowheads="1"/>
        </xdr:cNvSpPr>
      </xdr:nvSpPr>
      <xdr:spPr bwMode="auto">
        <a:xfrm>
          <a:off x="4592216" y="2200275"/>
          <a:ext cx="304800" cy="302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58316</xdr:colOff>
      <xdr:row>8</xdr:row>
      <xdr:rowOff>476250</xdr:rowOff>
    </xdr:from>
    <xdr:ext cx="304800" cy="302662"/>
    <xdr:sp macro="" textlink="">
      <xdr:nvSpPr>
        <xdr:cNvPr id="28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1400DA93-F6A9-4B0E-9244-C0FE6C1EF913}"/>
            </a:ext>
          </a:extLst>
        </xdr:cNvPr>
        <xdr:cNvSpPr>
          <a:spLocks noChangeAspect="1" noChangeArrowheads="1"/>
        </xdr:cNvSpPr>
      </xdr:nvSpPr>
      <xdr:spPr bwMode="auto">
        <a:xfrm>
          <a:off x="4592216" y="2200275"/>
          <a:ext cx="304800" cy="302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58316</xdr:colOff>
      <xdr:row>8</xdr:row>
      <xdr:rowOff>476250</xdr:rowOff>
    </xdr:from>
    <xdr:ext cx="304800" cy="302662"/>
    <xdr:sp macro="" textlink="">
      <xdr:nvSpPr>
        <xdr:cNvPr id="29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E1C9D334-59F2-450B-BCB9-43E4645C5C9F}"/>
            </a:ext>
          </a:extLst>
        </xdr:cNvPr>
        <xdr:cNvSpPr>
          <a:spLocks noChangeAspect="1" noChangeArrowheads="1"/>
        </xdr:cNvSpPr>
      </xdr:nvSpPr>
      <xdr:spPr bwMode="auto">
        <a:xfrm>
          <a:off x="4592216" y="2200275"/>
          <a:ext cx="304800" cy="302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8</xdr:row>
      <xdr:rowOff>476250</xdr:rowOff>
    </xdr:from>
    <xdr:ext cx="304800" cy="288656"/>
    <xdr:sp macro="" textlink="">
      <xdr:nvSpPr>
        <xdr:cNvPr id="30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5DB226EF-533B-46D0-800D-AE6EC585EE58}"/>
            </a:ext>
          </a:extLst>
        </xdr:cNvPr>
        <xdr:cNvSpPr>
          <a:spLocks noChangeAspect="1" noChangeArrowheads="1"/>
        </xdr:cNvSpPr>
      </xdr:nvSpPr>
      <xdr:spPr bwMode="auto">
        <a:xfrm>
          <a:off x="4533900" y="2200275"/>
          <a:ext cx="304800" cy="288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47625</xdr:colOff>
      <xdr:row>8</xdr:row>
      <xdr:rowOff>328613</xdr:rowOff>
    </xdr:from>
    <xdr:ext cx="304800" cy="288656"/>
    <xdr:sp macro="" textlink="">
      <xdr:nvSpPr>
        <xdr:cNvPr id="31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6F789BCF-47CF-4294-BF7D-555DF834C593}"/>
            </a:ext>
          </a:extLst>
        </xdr:cNvPr>
        <xdr:cNvSpPr>
          <a:spLocks noChangeAspect="1" noChangeArrowheads="1"/>
        </xdr:cNvSpPr>
      </xdr:nvSpPr>
      <xdr:spPr bwMode="auto">
        <a:xfrm>
          <a:off x="4581525" y="2052638"/>
          <a:ext cx="304800" cy="288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58316</xdr:colOff>
      <xdr:row>8</xdr:row>
      <xdr:rowOff>476250</xdr:rowOff>
    </xdr:from>
    <xdr:ext cx="304800" cy="302662"/>
    <xdr:sp macro="" textlink="">
      <xdr:nvSpPr>
        <xdr:cNvPr id="32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D4027098-4F97-4394-84CD-42A49A80A4AF}"/>
            </a:ext>
          </a:extLst>
        </xdr:cNvPr>
        <xdr:cNvSpPr>
          <a:spLocks noChangeAspect="1" noChangeArrowheads="1"/>
        </xdr:cNvSpPr>
      </xdr:nvSpPr>
      <xdr:spPr bwMode="auto">
        <a:xfrm>
          <a:off x="4592216" y="2200275"/>
          <a:ext cx="304800" cy="302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58316</xdr:colOff>
      <xdr:row>8</xdr:row>
      <xdr:rowOff>476250</xdr:rowOff>
    </xdr:from>
    <xdr:ext cx="304800" cy="302662"/>
    <xdr:sp macro="" textlink="">
      <xdr:nvSpPr>
        <xdr:cNvPr id="33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DBE5F433-F562-40DE-817E-23AE378A53B0}"/>
            </a:ext>
          </a:extLst>
        </xdr:cNvPr>
        <xdr:cNvSpPr>
          <a:spLocks noChangeAspect="1" noChangeArrowheads="1"/>
        </xdr:cNvSpPr>
      </xdr:nvSpPr>
      <xdr:spPr bwMode="auto">
        <a:xfrm>
          <a:off x="4592216" y="2200275"/>
          <a:ext cx="304800" cy="302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58316</xdr:colOff>
      <xdr:row>8</xdr:row>
      <xdr:rowOff>476250</xdr:rowOff>
    </xdr:from>
    <xdr:ext cx="304800" cy="302662"/>
    <xdr:sp macro="" textlink="">
      <xdr:nvSpPr>
        <xdr:cNvPr id="34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F06121DB-CFA7-4B98-9807-B5E26A693601}"/>
            </a:ext>
          </a:extLst>
        </xdr:cNvPr>
        <xdr:cNvSpPr>
          <a:spLocks noChangeAspect="1" noChangeArrowheads="1"/>
        </xdr:cNvSpPr>
      </xdr:nvSpPr>
      <xdr:spPr bwMode="auto">
        <a:xfrm>
          <a:off x="4592216" y="2200275"/>
          <a:ext cx="304800" cy="302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58316</xdr:colOff>
      <xdr:row>8</xdr:row>
      <xdr:rowOff>476250</xdr:rowOff>
    </xdr:from>
    <xdr:ext cx="304800" cy="302662"/>
    <xdr:sp macro="" textlink="">
      <xdr:nvSpPr>
        <xdr:cNvPr id="35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392A6B80-22C8-4D17-8628-42EB867C8E03}"/>
            </a:ext>
          </a:extLst>
        </xdr:cNvPr>
        <xdr:cNvSpPr>
          <a:spLocks noChangeAspect="1" noChangeArrowheads="1"/>
        </xdr:cNvSpPr>
      </xdr:nvSpPr>
      <xdr:spPr bwMode="auto">
        <a:xfrm>
          <a:off x="4592216" y="2200275"/>
          <a:ext cx="304800" cy="302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58316</xdr:colOff>
      <xdr:row>8</xdr:row>
      <xdr:rowOff>476250</xdr:rowOff>
    </xdr:from>
    <xdr:ext cx="304800" cy="302662"/>
    <xdr:sp macro="" textlink="">
      <xdr:nvSpPr>
        <xdr:cNvPr id="36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64DA7299-942A-428A-BCDB-F30DFB4426C4}"/>
            </a:ext>
          </a:extLst>
        </xdr:cNvPr>
        <xdr:cNvSpPr>
          <a:spLocks noChangeAspect="1" noChangeArrowheads="1"/>
        </xdr:cNvSpPr>
      </xdr:nvSpPr>
      <xdr:spPr bwMode="auto">
        <a:xfrm>
          <a:off x="4592216" y="2200275"/>
          <a:ext cx="304800" cy="302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58316</xdr:colOff>
      <xdr:row>8</xdr:row>
      <xdr:rowOff>476250</xdr:rowOff>
    </xdr:from>
    <xdr:ext cx="304800" cy="302662"/>
    <xdr:sp macro="" textlink="">
      <xdr:nvSpPr>
        <xdr:cNvPr id="37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978E6B69-DF18-4010-B99A-C19B71312E42}"/>
            </a:ext>
          </a:extLst>
        </xdr:cNvPr>
        <xdr:cNvSpPr>
          <a:spLocks noChangeAspect="1" noChangeArrowheads="1"/>
        </xdr:cNvSpPr>
      </xdr:nvSpPr>
      <xdr:spPr bwMode="auto">
        <a:xfrm>
          <a:off x="4592216" y="2200275"/>
          <a:ext cx="304800" cy="302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8</xdr:row>
      <xdr:rowOff>476250</xdr:rowOff>
    </xdr:from>
    <xdr:ext cx="304800" cy="288656"/>
    <xdr:sp macro="" textlink="">
      <xdr:nvSpPr>
        <xdr:cNvPr id="38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373F2E30-CE70-4021-9CFC-45E69B1866B1}"/>
            </a:ext>
          </a:extLst>
        </xdr:cNvPr>
        <xdr:cNvSpPr>
          <a:spLocks noChangeAspect="1" noChangeArrowheads="1"/>
        </xdr:cNvSpPr>
      </xdr:nvSpPr>
      <xdr:spPr bwMode="auto">
        <a:xfrm>
          <a:off x="4533900" y="2200275"/>
          <a:ext cx="304800" cy="288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47625</xdr:colOff>
      <xdr:row>8</xdr:row>
      <xdr:rowOff>328613</xdr:rowOff>
    </xdr:from>
    <xdr:ext cx="304800" cy="288656"/>
    <xdr:sp macro="" textlink="">
      <xdr:nvSpPr>
        <xdr:cNvPr id="39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6A24D372-2F96-4DAE-BEDC-9A51CCD19355}"/>
            </a:ext>
          </a:extLst>
        </xdr:cNvPr>
        <xdr:cNvSpPr>
          <a:spLocks noChangeAspect="1" noChangeArrowheads="1"/>
        </xdr:cNvSpPr>
      </xdr:nvSpPr>
      <xdr:spPr bwMode="auto">
        <a:xfrm>
          <a:off x="4581525" y="2052638"/>
          <a:ext cx="304800" cy="288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58316</xdr:colOff>
      <xdr:row>8</xdr:row>
      <xdr:rowOff>476250</xdr:rowOff>
    </xdr:from>
    <xdr:ext cx="304800" cy="302662"/>
    <xdr:sp macro="" textlink="">
      <xdr:nvSpPr>
        <xdr:cNvPr id="40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E149FF4A-6DE7-4578-BE45-B2AD495797E9}"/>
            </a:ext>
          </a:extLst>
        </xdr:cNvPr>
        <xdr:cNvSpPr>
          <a:spLocks noChangeAspect="1" noChangeArrowheads="1"/>
        </xdr:cNvSpPr>
      </xdr:nvSpPr>
      <xdr:spPr bwMode="auto">
        <a:xfrm>
          <a:off x="4592216" y="2200275"/>
          <a:ext cx="304800" cy="302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58316</xdr:colOff>
      <xdr:row>8</xdr:row>
      <xdr:rowOff>476250</xdr:rowOff>
    </xdr:from>
    <xdr:ext cx="304800" cy="302662"/>
    <xdr:sp macro="" textlink="">
      <xdr:nvSpPr>
        <xdr:cNvPr id="41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EA299A0A-61CA-4905-ACB2-940C8C306F5A}"/>
            </a:ext>
          </a:extLst>
        </xdr:cNvPr>
        <xdr:cNvSpPr>
          <a:spLocks noChangeAspect="1" noChangeArrowheads="1"/>
        </xdr:cNvSpPr>
      </xdr:nvSpPr>
      <xdr:spPr bwMode="auto">
        <a:xfrm>
          <a:off x="4592216" y="2200275"/>
          <a:ext cx="304800" cy="302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58316</xdr:colOff>
      <xdr:row>8</xdr:row>
      <xdr:rowOff>476250</xdr:rowOff>
    </xdr:from>
    <xdr:ext cx="304800" cy="298181"/>
    <xdr:sp macro="" textlink="">
      <xdr:nvSpPr>
        <xdr:cNvPr id="42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B0AC15F8-9785-41AD-B326-BF4236E87333}"/>
            </a:ext>
          </a:extLst>
        </xdr:cNvPr>
        <xdr:cNvSpPr>
          <a:spLocks noChangeAspect="1" noChangeArrowheads="1"/>
        </xdr:cNvSpPr>
      </xdr:nvSpPr>
      <xdr:spPr bwMode="auto">
        <a:xfrm>
          <a:off x="3754016" y="2200275"/>
          <a:ext cx="304800" cy="2981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58316</xdr:colOff>
      <xdr:row>8</xdr:row>
      <xdr:rowOff>476250</xdr:rowOff>
    </xdr:from>
    <xdr:ext cx="304800" cy="298181"/>
    <xdr:sp macro="" textlink="">
      <xdr:nvSpPr>
        <xdr:cNvPr id="43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455649B1-3D6C-4BAA-AFDF-5230396F8D07}"/>
            </a:ext>
          </a:extLst>
        </xdr:cNvPr>
        <xdr:cNvSpPr>
          <a:spLocks noChangeAspect="1" noChangeArrowheads="1"/>
        </xdr:cNvSpPr>
      </xdr:nvSpPr>
      <xdr:spPr bwMode="auto">
        <a:xfrm>
          <a:off x="3754016" y="2200275"/>
          <a:ext cx="304800" cy="2981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58316</xdr:colOff>
      <xdr:row>8</xdr:row>
      <xdr:rowOff>476250</xdr:rowOff>
    </xdr:from>
    <xdr:ext cx="304800" cy="298181"/>
    <xdr:sp macro="" textlink="">
      <xdr:nvSpPr>
        <xdr:cNvPr id="44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52084AFA-896C-469B-BA93-3AF32396539E}"/>
            </a:ext>
          </a:extLst>
        </xdr:cNvPr>
        <xdr:cNvSpPr>
          <a:spLocks noChangeAspect="1" noChangeArrowheads="1"/>
        </xdr:cNvSpPr>
      </xdr:nvSpPr>
      <xdr:spPr bwMode="auto">
        <a:xfrm>
          <a:off x="3754016" y="2200275"/>
          <a:ext cx="304800" cy="2981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43</xdr:row>
      <xdr:rowOff>0</xdr:rowOff>
    </xdr:from>
    <xdr:ext cx="304800" cy="314325"/>
    <xdr:sp macro="" textlink="">
      <xdr:nvSpPr>
        <xdr:cNvPr id="45" name="Shape 3" descr="directorio ong Médicos del Mundo Francia México, A.C. - hacesfalta.org.mx">
          <a:extLst>
            <a:ext uri="{FF2B5EF4-FFF2-40B4-BE49-F238E27FC236}">
              <a16:creationId xmlns:a16="http://schemas.microsoft.com/office/drawing/2014/main" id="{F900C39D-8659-42C9-B459-836886BA1B78}"/>
            </a:ext>
          </a:extLst>
        </xdr:cNvPr>
        <xdr:cNvSpPr/>
      </xdr:nvSpPr>
      <xdr:spPr>
        <a:xfrm>
          <a:off x="3695700" y="30813375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58316</xdr:colOff>
      <xdr:row>8</xdr:row>
      <xdr:rowOff>476250</xdr:rowOff>
    </xdr:from>
    <xdr:ext cx="304800" cy="845587"/>
    <xdr:sp macro="" textlink="">
      <xdr:nvSpPr>
        <xdr:cNvPr id="46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F260A6E4-6465-4EB4-B644-BC81969EDB97}"/>
            </a:ext>
          </a:extLst>
        </xdr:cNvPr>
        <xdr:cNvSpPr>
          <a:spLocks noChangeAspect="1" noChangeArrowheads="1"/>
        </xdr:cNvSpPr>
      </xdr:nvSpPr>
      <xdr:spPr bwMode="auto">
        <a:xfrm>
          <a:off x="4592216" y="2200275"/>
          <a:ext cx="304800" cy="8455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58316</xdr:colOff>
      <xdr:row>8</xdr:row>
      <xdr:rowOff>476250</xdr:rowOff>
    </xdr:from>
    <xdr:ext cx="304800" cy="302662"/>
    <xdr:sp macro="" textlink="">
      <xdr:nvSpPr>
        <xdr:cNvPr id="47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B8C620BA-AF6F-4110-A199-51377C511B4D}"/>
            </a:ext>
          </a:extLst>
        </xdr:cNvPr>
        <xdr:cNvSpPr>
          <a:spLocks noChangeAspect="1" noChangeArrowheads="1"/>
        </xdr:cNvSpPr>
      </xdr:nvSpPr>
      <xdr:spPr bwMode="auto">
        <a:xfrm>
          <a:off x="4592216" y="2200275"/>
          <a:ext cx="304800" cy="302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58316</xdr:colOff>
      <xdr:row>8</xdr:row>
      <xdr:rowOff>476250</xdr:rowOff>
    </xdr:from>
    <xdr:ext cx="304800" cy="302662"/>
    <xdr:sp macro="" textlink="">
      <xdr:nvSpPr>
        <xdr:cNvPr id="48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373764BF-732F-4163-B5B4-51DD56A28806}"/>
            </a:ext>
          </a:extLst>
        </xdr:cNvPr>
        <xdr:cNvSpPr>
          <a:spLocks noChangeAspect="1" noChangeArrowheads="1"/>
        </xdr:cNvSpPr>
      </xdr:nvSpPr>
      <xdr:spPr bwMode="auto">
        <a:xfrm>
          <a:off x="4592216" y="2200275"/>
          <a:ext cx="304800" cy="302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58316</xdr:colOff>
      <xdr:row>8</xdr:row>
      <xdr:rowOff>476250</xdr:rowOff>
    </xdr:from>
    <xdr:ext cx="304800" cy="302662"/>
    <xdr:sp macro="" textlink="">
      <xdr:nvSpPr>
        <xdr:cNvPr id="49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9C926914-5F0D-4AA6-B2E3-B81F036563BF}"/>
            </a:ext>
          </a:extLst>
        </xdr:cNvPr>
        <xdr:cNvSpPr>
          <a:spLocks noChangeAspect="1" noChangeArrowheads="1"/>
        </xdr:cNvSpPr>
      </xdr:nvSpPr>
      <xdr:spPr bwMode="auto">
        <a:xfrm>
          <a:off x="4592216" y="2200275"/>
          <a:ext cx="304800" cy="302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</xdr:row>
      <xdr:rowOff>476250</xdr:rowOff>
    </xdr:from>
    <xdr:ext cx="304800" cy="288656"/>
    <xdr:sp macro="" textlink="">
      <xdr:nvSpPr>
        <xdr:cNvPr id="50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A27937EA-5974-4A44-8F11-E9A0DE6FD140}"/>
            </a:ext>
          </a:extLst>
        </xdr:cNvPr>
        <xdr:cNvSpPr>
          <a:spLocks noChangeAspect="1" noChangeArrowheads="1"/>
        </xdr:cNvSpPr>
      </xdr:nvSpPr>
      <xdr:spPr bwMode="auto">
        <a:xfrm>
          <a:off x="4533900" y="2200275"/>
          <a:ext cx="304800" cy="288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47625</xdr:colOff>
      <xdr:row>8</xdr:row>
      <xdr:rowOff>328613</xdr:rowOff>
    </xdr:from>
    <xdr:ext cx="304800" cy="288656"/>
    <xdr:sp macro="" textlink="">
      <xdr:nvSpPr>
        <xdr:cNvPr id="51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10857A0F-6A39-4CB6-BD2C-22FF96501426}"/>
            </a:ext>
          </a:extLst>
        </xdr:cNvPr>
        <xdr:cNvSpPr>
          <a:spLocks noChangeAspect="1" noChangeArrowheads="1"/>
        </xdr:cNvSpPr>
      </xdr:nvSpPr>
      <xdr:spPr bwMode="auto">
        <a:xfrm>
          <a:off x="4581525" y="2052638"/>
          <a:ext cx="304800" cy="288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58316</xdr:colOff>
      <xdr:row>8</xdr:row>
      <xdr:rowOff>476250</xdr:rowOff>
    </xdr:from>
    <xdr:ext cx="304800" cy="302662"/>
    <xdr:sp macro="" textlink="">
      <xdr:nvSpPr>
        <xdr:cNvPr id="52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6E8E7AFB-6EC4-40C8-BD15-E1F3899D1EBA}"/>
            </a:ext>
          </a:extLst>
        </xdr:cNvPr>
        <xdr:cNvSpPr>
          <a:spLocks noChangeAspect="1" noChangeArrowheads="1"/>
        </xdr:cNvSpPr>
      </xdr:nvSpPr>
      <xdr:spPr bwMode="auto">
        <a:xfrm>
          <a:off x="4592216" y="2200275"/>
          <a:ext cx="304800" cy="302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58316</xdr:colOff>
      <xdr:row>8</xdr:row>
      <xdr:rowOff>476250</xdr:rowOff>
    </xdr:from>
    <xdr:ext cx="304800" cy="302662"/>
    <xdr:sp macro="" textlink="">
      <xdr:nvSpPr>
        <xdr:cNvPr id="53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12AA141A-5F66-43BA-9E68-5D9939656FDB}"/>
            </a:ext>
          </a:extLst>
        </xdr:cNvPr>
        <xdr:cNvSpPr>
          <a:spLocks noChangeAspect="1" noChangeArrowheads="1"/>
        </xdr:cNvSpPr>
      </xdr:nvSpPr>
      <xdr:spPr bwMode="auto">
        <a:xfrm>
          <a:off x="4592216" y="2200275"/>
          <a:ext cx="304800" cy="302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58316</xdr:colOff>
      <xdr:row>8</xdr:row>
      <xdr:rowOff>476250</xdr:rowOff>
    </xdr:from>
    <xdr:ext cx="304800" cy="302662"/>
    <xdr:sp macro="" textlink="">
      <xdr:nvSpPr>
        <xdr:cNvPr id="54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9E6C861E-23D2-4172-A3D2-56E1F91EC880}"/>
            </a:ext>
          </a:extLst>
        </xdr:cNvPr>
        <xdr:cNvSpPr>
          <a:spLocks noChangeAspect="1" noChangeArrowheads="1"/>
        </xdr:cNvSpPr>
      </xdr:nvSpPr>
      <xdr:spPr bwMode="auto">
        <a:xfrm>
          <a:off x="4592216" y="2200275"/>
          <a:ext cx="304800" cy="302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58316</xdr:colOff>
      <xdr:row>8</xdr:row>
      <xdr:rowOff>476250</xdr:rowOff>
    </xdr:from>
    <xdr:ext cx="304800" cy="302662"/>
    <xdr:sp macro="" textlink="">
      <xdr:nvSpPr>
        <xdr:cNvPr id="55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7FB36128-C293-464D-A1A7-35FD941C1056}"/>
            </a:ext>
          </a:extLst>
        </xdr:cNvPr>
        <xdr:cNvSpPr>
          <a:spLocks noChangeAspect="1" noChangeArrowheads="1"/>
        </xdr:cNvSpPr>
      </xdr:nvSpPr>
      <xdr:spPr bwMode="auto">
        <a:xfrm>
          <a:off x="4592216" y="2200275"/>
          <a:ext cx="304800" cy="302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58316</xdr:colOff>
      <xdr:row>8</xdr:row>
      <xdr:rowOff>476250</xdr:rowOff>
    </xdr:from>
    <xdr:ext cx="304800" cy="302662"/>
    <xdr:sp macro="" textlink="">
      <xdr:nvSpPr>
        <xdr:cNvPr id="56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623571E8-D2E3-4B72-B2DD-7221617CF181}"/>
            </a:ext>
          </a:extLst>
        </xdr:cNvPr>
        <xdr:cNvSpPr>
          <a:spLocks noChangeAspect="1" noChangeArrowheads="1"/>
        </xdr:cNvSpPr>
      </xdr:nvSpPr>
      <xdr:spPr bwMode="auto">
        <a:xfrm>
          <a:off x="4592216" y="2200275"/>
          <a:ext cx="304800" cy="302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58316</xdr:colOff>
      <xdr:row>8</xdr:row>
      <xdr:rowOff>476250</xdr:rowOff>
    </xdr:from>
    <xdr:ext cx="304800" cy="302662"/>
    <xdr:sp macro="" textlink="">
      <xdr:nvSpPr>
        <xdr:cNvPr id="57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87A181D7-9E71-4A45-8A92-AC0AF6FC8774}"/>
            </a:ext>
          </a:extLst>
        </xdr:cNvPr>
        <xdr:cNvSpPr>
          <a:spLocks noChangeAspect="1" noChangeArrowheads="1"/>
        </xdr:cNvSpPr>
      </xdr:nvSpPr>
      <xdr:spPr bwMode="auto">
        <a:xfrm>
          <a:off x="4592216" y="2200275"/>
          <a:ext cx="304800" cy="302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</xdr:row>
      <xdr:rowOff>476250</xdr:rowOff>
    </xdr:from>
    <xdr:ext cx="304800" cy="288656"/>
    <xdr:sp macro="" textlink="">
      <xdr:nvSpPr>
        <xdr:cNvPr id="58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D19C060D-7C7F-487B-BBBD-C3785405B3C7}"/>
            </a:ext>
          </a:extLst>
        </xdr:cNvPr>
        <xdr:cNvSpPr>
          <a:spLocks noChangeAspect="1" noChangeArrowheads="1"/>
        </xdr:cNvSpPr>
      </xdr:nvSpPr>
      <xdr:spPr bwMode="auto">
        <a:xfrm>
          <a:off x="4533900" y="2200275"/>
          <a:ext cx="304800" cy="288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47625</xdr:colOff>
      <xdr:row>8</xdr:row>
      <xdr:rowOff>328613</xdr:rowOff>
    </xdr:from>
    <xdr:ext cx="304800" cy="288656"/>
    <xdr:sp macro="" textlink="">
      <xdr:nvSpPr>
        <xdr:cNvPr id="59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7397F688-E087-440A-9BDC-882DF7E67415}"/>
            </a:ext>
          </a:extLst>
        </xdr:cNvPr>
        <xdr:cNvSpPr>
          <a:spLocks noChangeAspect="1" noChangeArrowheads="1"/>
        </xdr:cNvSpPr>
      </xdr:nvSpPr>
      <xdr:spPr bwMode="auto">
        <a:xfrm>
          <a:off x="4581525" y="2052638"/>
          <a:ext cx="304800" cy="288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58316</xdr:colOff>
      <xdr:row>8</xdr:row>
      <xdr:rowOff>476250</xdr:rowOff>
    </xdr:from>
    <xdr:ext cx="304800" cy="302662"/>
    <xdr:sp macro="" textlink="">
      <xdr:nvSpPr>
        <xdr:cNvPr id="60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60E7CABF-F55A-432F-8652-967D8BD59138}"/>
            </a:ext>
          </a:extLst>
        </xdr:cNvPr>
        <xdr:cNvSpPr>
          <a:spLocks noChangeAspect="1" noChangeArrowheads="1"/>
        </xdr:cNvSpPr>
      </xdr:nvSpPr>
      <xdr:spPr bwMode="auto">
        <a:xfrm>
          <a:off x="4592216" y="2200275"/>
          <a:ext cx="304800" cy="302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58316</xdr:colOff>
      <xdr:row>8</xdr:row>
      <xdr:rowOff>476250</xdr:rowOff>
    </xdr:from>
    <xdr:ext cx="304800" cy="302662"/>
    <xdr:sp macro="" textlink="">
      <xdr:nvSpPr>
        <xdr:cNvPr id="61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9FEE6BB5-51CD-40B3-BF57-8B6776CA73A2}"/>
            </a:ext>
          </a:extLst>
        </xdr:cNvPr>
        <xdr:cNvSpPr>
          <a:spLocks noChangeAspect="1" noChangeArrowheads="1"/>
        </xdr:cNvSpPr>
      </xdr:nvSpPr>
      <xdr:spPr bwMode="auto">
        <a:xfrm>
          <a:off x="4592216" y="2200275"/>
          <a:ext cx="304800" cy="302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58316</xdr:colOff>
      <xdr:row>8</xdr:row>
      <xdr:rowOff>476250</xdr:rowOff>
    </xdr:from>
    <xdr:ext cx="304800" cy="298181"/>
    <xdr:sp macro="" textlink="">
      <xdr:nvSpPr>
        <xdr:cNvPr id="62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B12571AA-774A-41B3-AAFA-3BBB55E4F173}"/>
            </a:ext>
          </a:extLst>
        </xdr:cNvPr>
        <xdr:cNvSpPr>
          <a:spLocks noChangeAspect="1" noChangeArrowheads="1"/>
        </xdr:cNvSpPr>
      </xdr:nvSpPr>
      <xdr:spPr bwMode="auto">
        <a:xfrm>
          <a:off x="3754016" y="2200275"/>
          <a:ext cx="304800" cy="2981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58316</xdr:colOff>
      <xdr:row>8</xdr:row>
      <xdr:rowOff>476250</xdr:rowOff>
    </xdr:from>
    <xdr:ext cx="304800" cy="298181"/>
    <xdr:sp macro="" textlink="">
      <xdr:nvSpPr>
        <xdr:cNvPr id="63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4B8CF05D-CD45-4B6C-B181-3CA79236435F}"/>
            </a:ext>
          </a:extLst>
        </xdr:cNvPr>
        <xdr:cNvSpPr>
          <a:spLocks noChangeAspect="1" noChangeArrowheads="1"/>
        </xdr:cNvSpPr>
      </xdr:nvSpPr>
      <xdr:spPr bwMode="auto">
        <a:xfrm>
          <a:off x="3754016" y="2200275"/>
          <a:ext cx="304800" cy="2981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58316</xdr:colOff>
      <xdr:row>8</xdr:row>
      <xdr:rowOff>476250</xdr:rowOff>
    </xdr:from>
    <xdr:ext cx="304800" cy="298181"/>
    <xdr:sp macro="" textlink="">
      <xdr:nvSpPr>
        <xdr:cNvPr id="36288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61E80AC9-0354-437B-B9D7-9319EA89FFF8}"/>
            </a:ext>
          </a:extLst>
        </xdr:cNvPr>
        <xdr:cNvSpPr>
          <a:spLocks noChangeAspect="1" noChangeArrowheads="1"/>
        </xdr:cNvSpPr>
      </xdr:nvSpPr>
      <xdr:spPr bwMode="auto">
        <a:xfrm>
          <a:off x="3754016" y="2200275"/>
          <a:ext cx="304800" cy="2981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43</xdr:row>
      <xdr:rowOff>0</xdr:rowOff>
    </xdr:from>
    <xdr:ext cx="304800" cy="314325"/>
    <xdr:sp macro="" textlink="">
      <xdr:nvSpPr>
        <xdr:cNvPr id="36289" name="Shape 3" descr="directorio ong Médicos del Mundo Francia México, A.C. - hacesfalta.org.mx">
          <a:extLst>
            <a:ext uri="{FF2B5EF4-FFF2-40B4-BE49-F238E27FC236}">
              <a16:creationId xmlns:a16="http://schemas.microsoft.com/office/drawing/2014/main" id="{FFE35C4C-2FC6-44B2-A827-53DEBAB52518}"/>
            </a:ext>
          </a:extLst>
        </xdr:cNvPr>
        <xdr:cNvSpPr/>
      </xdr:nvSpPr>
      <xdr:spPr>
        <a:xfrm>
          <a:off x="3695700" y="30813375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58316</xdr:colOff>
      <xdr:row>8</xdr:row>
      <xdr:rowOff>476250</xdr:rowOff>
    </xdr:from>
    <xdr:ext cx="304800" cy="845587"/>
    <xdr:sp macro="" textlink="">
      <xdr:nvSpPr>
        <xdr:cNvPr id="36290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2446AB7C-7CD5-4977-8EFB-79D8F2C56BA0}"/>
            </a:ext>
          </a:extLst>
        </xdr:cNvPr>
        <xdr:cNvSpPr>
          <a:spLocks noChangeAspect="1" noChangeArrowheads="1"/>
        </xdr:cNvSpPr>
      </xdr:nvSpPr>
      <xdr:spPr bwMode="auto">
        <a:xfrm>
          <a:off x="4592216" y="2200275"/>
          <a:ext cx="304800" cy="8455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58316</xdr:colOff>
      <xdr:row>8</xdr:row>
      <xdr:rowOff>476250</xdr:rowOff>
    </xdr:from>
    <xdr:ext cx="304800" cy="302662"/>
    <xdr:sp macro="" textlink="">
      <xdr:nvSpPr>
        <xdr:cNvPr id="36291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16BC75F4-6A44-4620-A25D-DAEF52403F81}"/>
            </a:ext>
          </a:extLst>
        </xdr:cNvPr>
        <xdr:cNvSpPr>
          <a:spLocks noChangeAspect="1" noChangeArrowheads="1"/>
        </xdr:cNvSpPr>
      </xdr:nvSpPr>
      <xdr:spPr bwMode="auto">
        <a:xfrm>
          <a:off x="4592216" y="2200275"/>
          <a:ext cx="304800" cy="302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58316</xdr:colOff>
      <xdr:row>8</xdr:row>
      <xdr:rowOff>476250</xdr:rowOff>
    </xdr:from>
    <xdr:ext cx="304800" cy="302662"/>
    <xdr:sp macro="" textlink="">
      <xdr:nvSpPr>
        <xdr:cNvPr id="36292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C904394E-F787-41B5-8036-7160C220CF6D}"/>
            </a:ext>
          </a:extLst>
        </xdr:cNvPr>
        <xdr:cNvSpPr>
          <a:spLocks noChangeAspect="1" noChangeArrowheads="1"/>
        </xdr:cNvSpPr>
      </xdr:nvSpPr>
      <xdr:spPr bwMode="auto">
        <a:xfrm>
          <a:off x="4592216" y="2200275"/>
          <a:ext cx="304800" cy="302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58316</xdr:colOff>
      <xdr:row>8</xdr:row>
      <xdr:rowOff>476250</xdr:rowOff>
    </xdr:from>
    <xdr:ext cx="304800" cy="302662"/>
    <xdr:sp macro="" textlink="">
      <xdr:nvSpPr>
        <xdr:cNvPr id="36293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9026B811-3889-4250-99AA-B6D521ACCFB3}"/>
            </a:ext>
          </a:extLst>
        </xdr:cNvPr>
        <xdr:cNvSpPr>
          <a:spLocks noChangeAspect="1" noChangeArrowheads="1"/>
        </xdr:cNvSpPr>
      </xdr:nvSpPr>
      <xdr:spPr bwMode="auto">
        <a:xfrm>
          <a:off x="4592216" y="2200275"/>
          <a:ext cx="304800" cy="302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</xdr:row>
      <xdr:rowOff>476250</xdr:rowOff>
    </xdr:from>
    <xdr:ext cx="304800" cy="288656"/>
    <xdr:sp macro="" textlink="">
      <xdr:nvSpPr>
        <xdr:cNvPr id="36294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0DB39779-BCF2-4FD3-BA28-C2DF8D307050}"/>
            </a:ext>
          </a:extLst>
        </xdr:cNvPr>
        <xdr:cNvSpPr>
          <a:spLocks noChangeAspect="1" noChangeArrowheads="1"/>
        </xdr:cNvSpPr>
      </xdr:nvSpPr>
      <xdr:spPr bwMode="auto">
        <a:xfrm>
          <a:off x="4533900" y="2200275"/>
          <a:ext cx="304800" cy="288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47625</xdr:colOff>
      <xdr:row>8</xdr:row>
      <xdr:rowOff>328613</xdr:rowOff>
    </xdr:from>
    <xdr:ext cx="304800" cy="288656"/>
    <xdr:sp macro="" textlink="">
      <xdr:nvSpPr>
        <xdr:cNvPr id="36295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34BAB1DE-20A9-4CA0-A268-CED9E88543F4}"/>
            </a:ext>
          </a:extLst>
        </xdr:cNvPr>
        <xdr:cNvSpPr>
          <a:spLocks noChangeAspect="1" noChangeArrowheads="1"/>
        </xdr:cNvSpPr>
      </xdr:nvSpPr>
      <xdr:spPr bwMode="auto">
        <a:xfrm>
          <a:off x="4581525" y="2052638"/>
          <a:ext cx="304800" cy="288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58316</xdr:colOff>
      <xdr:row>8</xdr:row>
      <xdr:rowOff>476250</xdr:rowOff>
    </xdr:from>
    <xdr:ext cx="304800" cy="302662"/>
    <xdr:sp macro="" textlink="">
      <xdr:nvSpPr>
        <xdr:cNvPr id="36296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CB68B2E0-D63D-40AD-AB10-9208D36BFCF8}"/>
            </a:ext>
          </a:extLst>
        </xdr:cNvPr>
        <xdr:cNvSpPr>
          <a:spLocks noChangeAspect="1" noChangeArrowheads="1"/>
        </xdr:cNvSpPr>
      </xdr:nvSpPr>
      <xdr:spPr bwMode="auto">
        <a:xfrm>
          <a:off x="4592216" y="2200275"/>
          <a:ext cx="304800" cy="302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58316</xdr:colOff>
      <xdr:row>8</xdr:row>
      <xdr:rowOff>476250</xdr:rowOff>
    </xdr:from>
    <xdr:ext cx="304800" cy="302662"/>
    <xdr:sp macro="" textlink="">
      <xdr:nvSpPr>
        <xdr:cNvPr id="36297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5612F4F1-79EE-4EF7-8BEE-556491ED50F4}"/>
            </a:ext>
          </a:extLst>
        </xdr:cNvPr>
        <xdr:cNvSpPr>
          <a:spLocks noChangeAspect="1" noChangeArrowheads="1"/>
        </xdr:cNvSpPr>
      </xdr:nvSpPr>
      <xdr:spPr bwMode="auto">
        <a:xfrm>
          <a:off x="4592216" y="2200275"/>
          <a:ext cx="304800" cy="302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58316</xdr:colOff>
      <xdr:row>8</xdr:row>
      <xdr:rowOff>476250</xdr:rowOff>
    </xdr:from>
    <xdr:ext cx="304800" cy="302662"/>
    <xdr:sp macro="" textlink="">
      <xdr:nvSpPr>
        <xdr:cNvPr id="36298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37903891-93EE-42E0-B196-3D552B6D984D}"/>
            </a:ext>
          </a:extLst>
        </xdr:cNvPr>
        <xdr:cNvSpPr>
          <a:spLocks noChangeAspect="1" noChangeArrowheads="1"/>
        </xdr:cNvSpPr>
      </xdr:nvSpPr>
      <xdr:spPr bwMode="auto">
        <a:xfrm>
          <a:off x="4592216" y="2200275"/>
          <a:ext cx="304800" cy="302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58316</xdr:colOff>
      <xdr:row>8</xdr:row>
      <xdr:rowOff>476250</xdr:rowOff>
    </xdr:from>
    <xdr:ext cx="304800" cy="302662"/>
    <xdr:sp macro="" textlink="">
      <xdr:nvSpPr>
        <xdr:cNvPr id="36299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F7BB68F6-7FD3-41F4-8C73-26FD128ADE41}"/>
            </a:ext>
          </a:extLst>
        </xdr:cNvPr>
        <xdr:cNvSpPr>
          <a:spLocks noChangeAspect="1" noChangeArrowheads="1"/>
        </xdr:cNvSpPr>
      </xdr:nvSpPr>
      <xdr:spPr bwMode="auto">
        <a:xfrm>
          <a:off x="4592216" y="2200275"/>
          <a:ext cx="304800" cy="302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58316</xdr:colOff>
      <xdr:row>8</xdr:row>
      <xdr:rowOff>476250</xdr:rowOff>
    </xdr:from>
    <xdr:ext cx="304800" cy="302662"/>
    <xdr:sp macro="" textlink="">
      <xdr:nvSpPr>
        <xdr:cNvPr id="36300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91DC7E19-0729-4E22-A18D-8425D19B36FD}"/>
            </a:ext>
          </a:extLst>
        </xdr:cNvPr>
        <xdr:cNvSpPr>
          <a:spLocks noChangeAspect="1" noChangeArrowheads="1"/>
        </xdr:cNvSpPr>
      </xdr:nvSpPr>
      <xdr:spPr bwMode="auto">
        <a:xfrm>
          <a:off x="4592216" y="2200275"/>
          <a:ext cx="304800" cy="302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58316</xdr:colOff>
      <xdr:row>8</xdr:row>
      <xdr:rowOff>476250</xdr:rowOff>
    </xdr:from>
    <xdr:ext cx="304800" cy="302662"/>
    <xdr:sp macro="" textlink="">
      <xdr:nvSpPr>
        <xdr:cNvPr id="36301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4F18DB05-932C-4A28-B2A1-99A0628E0933}"/>
            </a:ext>
          </a:extLst>
        </xdr:cNvPr>
        <xdr:cNvSpPr>
          <a:spLocks noChangeAspect="1" noChangeArrowheads="1"/>
        </xdr:cNvSpPr>
      </xdr:nvSpPr>
      <xdr:spPr bwMode="auto">
        <a:xfrm>
          <a:off x="4592216" y="2200275"/>
          <a:ext cx="304800" cy="302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</xdr:row>
      <xdr:rowOff>476250</xdr:rowOff>
    </xdr:from>
    <xdr:ext cx="304800" cy="288656"/>
    <xdr:sp macro="" textlink="">
      <xdr:nvSpPr>
        <xdr:cNvPr id="36302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BB67EBB9-180D-4B6D-88F2-A97A9A391F06}"/>
            </a:ext>
          </a:extLst>
        </xdr:cNvPr>
        <xdr:cNvSpPr>
          <a:spLocks noChangeAspect="1" noChangeArrowheads="1"/>
        </xdr:cNvSpPr>
      </xdr:nvSpPr>
      <xdr:spPr bwMode="auto">
        <a:xfrm>
          <a:off x="4533900" y="2200275"/>
          <a:ext cx="304800" cy="288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47625</xdr:colOff>
      <xdr:row>8</xdr:row>
      <xdr:rowOff>328613</xdr:rowOff>
    </xdr:from>
    <xdr:ext cx="304800" cy="288656"/>
    <xdr:sp macro="" textlink="">
      <xdr:nvSpPr>
        <xdr:cNvPr id="36303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2134AEB3-1A8C-413D-8B85-AF319890B4DB}"/>
            </a:ext>
          </a:extLst>
        </xdr:cNvPr>
        <xdr:cNvSpPr>
          <a:spLocks noChangeAspect="1" noChangeArrowheads="1"/>
        </xdr:cNvSpPr>
      </xdr:nvSpPr>
      <xdr:spPr bwMode="auto">
        <a:xfrm>
          <a:off x="4581525" y="2052638"/>
          <a:ext cx="304800" cy="288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58316</xdr:colOff>
      <xdr:row>8</xdr:row>
      <xdr:rowOff>476250</xdr:rowOff>
    </xdr:from>
    <xdr:ext cx="304800" cy="302662"/>
    <xdr:sp macro="" textlink="">
      <xdr:nvSpPr>
        <xdr:cNvPr id="36304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00C71FD0-42DD-4974-8611-55E8FBC3B5B7}"/>
            </a:ext>
          </a:extLst>
        </xdr:cNvPr>
        <xdr:cNvSpPr>
          <a:spLocks noChangeAspect="1" noChangeArrowheads="1"/>
        </xdr:cNvSpPr>
      </xdr:nvSpPr>
      <xdr:spPr bwMode="auto">
        <a:xfrm>
          <a:off x="4592216" y="2200275"/>
          <a:ext cx="304800" cy="302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58316</xdr:colOff>
      <xdr:row>8</xdr:row>
      <xdr:rowOff>476250</xdr:rowOff>
    </xdr:from>
    <xdr:ext cx="304800" cy="302662"/>
    <xdr:sp macro="" textlink="">
      <xdr:nvSpPr>
        <xdr:cNvPr id="36305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E6ADFFB7-69DD-4D53-89D8-3A34EE948FD1}"/>
            </a:ext>
          </a:extLst>
        </xdr:cNvPr>
        <xdr:cNvSpPr>
          <a:spLocks noChangeAspect="1" noChangeArrowheads="1"/>
        </xdr:cNvSpPr>
      </xdr:nvSpPr>
      <xdr:spPr bwMode="auto">
        <a:xfrm>
          <a:off x="4592216" y="2200275"/>
          <a:ext cx="304800" cy="302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58316</xdr:colOff>
      <xdr:row>8</xdr:row>
      <xdr:rowOff>476250</xdr:rowOff>
    </xdr:from>
    <xdr:ext cx="304800" cy="298181"/>
    <xdr:sp macro="" textlink="">
      <xdr:nvSpPr>
        <xdr:cNvPr id="36306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A82F49BE-AC1B-4829-8BF2-6596950E5C00}"/>
            </a:ext>
          </a:extLst>
        </xdr:cNvPr>
        <xdr:cNvSpPr>
          <a:spLocks noChangeAspect="1" noChangeArrowheads="1"/>
        </xdr:cNvSpPr>
      </xdr:nvSpPr>
      <xdr:spPr bwMode="auto">
        <a:xfrm>
          <a:off x="3754016" y="2200275"/>
          <a:ext cx="304800" cy="2981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58316</xdr:colOff>
      <xdr:row>8</xdr:row>
      <xdr:rowOff>476250</xdr:rowOff>
    </xdr:from>
    <xdr:ext cx="304800" cy="298181"/>
    <xdr:sp macro="" textlink="">
      <xdr:nvSpPr>
        <xdr:cNvPr id="36307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304F0774-AF04-4682-9679-26828B142A55}"/>
            </a:ext>
          </a:extLst>
        </xdr:cNvPr>
        <xdr:cNvSpPr>
          <a:spLocks noChangeAspect="1" noChangeArrowheads="1"/>
        </xdr:cNvSpPr>
      </xdr:nvSpPr>
      <xdr:spPr bwMode="auto">
        <a:xfrm>
          <a:off x="3754016" y="2200275"/>
          <a:ext cx="304800" cy="2981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58316</xdr:colOff>
      <xdr:row>8</xdr:row>
      <xdr:rowOff>476250</xdr:rowOff>
    </xdr:from>
    <xdr:ext cx="304800" cy="298181"/>
    <xdr:sp macro="" textlink="">
      <xdr:nvSpPr>
        <xdr:cNvPr id="36308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6476F894-7AE8-4CE9-A7DD-E138E7B32B7B}"/>
            </a:ext>
          </a:extLst>
        </xdr:cNvPr>
        <xdr:cNvSpPr>
          <a:spLocks noChangeAspect="1" noChangeArrowheads="1"/>
        </xdr:cNvSpPr>
      </xdr:nvSpPr>
      <xdr:spPr bwMode="auto">
        <a:xfrm>
          <a:off x="3754016" y="2200275"/>
          <a:ext cx="304800" cy="2981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43</xdr:row>
      <xdr:rowOff>0</xdr:rowOff>
    </xdr:from>
    <xdr:ext cx="304800" cy="314325"/>
    <xdr:sp macro="" textlink="">
      <xdr:nvSpPr>
        <xdr:cNvPr id="36309" name="Shape 3" descr="directorio ong Médicos del Mundo Francia México, A.C. - hacesfalta.org.mx">
          <a:extLst>
            <a:ext uri="{FF2B5EF4-FFF2-40B4-BE49-F238E27FC236}">
              <a16:creationId xmlns:a16="http://schemas.microsoft.com/office/drawing/2014/main" id="{137E1221-FF70-4913-A0F7-3FAF16DCE7EB}"/>
            </a:ext>
          </a:extLst>
        </xdr:cNvPr>
        <xdr:cNvSpPr/>
      </xdr:nvSpPr>
      <xdr:spPr>
        <a:xfrm>
          <a:off x="3695700" y="30813375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58316</xdr:colOff>
      <xdr:row>8</xdr:row>
      <xdr:rowOff>476250</xdr:rowOff>
    </xdr:from>
    <xdr:ext cx="304800" cy="845587"/>
    <xdr:sp macro="" textlink="">
      <xdr:nvSpPr>
        <xdr:cNvPr id="36310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8CBA25AD-167C-419F-8313-442E11E3C14D}"/>
            </a:ext>
          </a:extLst>
        </xdr:cNvPr>
        <xdr:cNvSpPr>
          <a:spLocks noChangeAspect="1" noChangeArrowheads="1"/>
        </xdr:cNvSpPr>
      </xdr:nvSpPr>
      <xdr:spPr bwMode="auto">
        <a:xfrm>
          <a:off x="4592216" y="2200275"/>
          <a:ext cx="304800" cy="8455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58316</xdr:colOff>
      <xdr:row>8</xdr:row>
      <xdr:rowOff>476250</xdr:rowOff>
    </xdr:from>
    <xdr:ext cx="304800" cy="302662"/>
    <xdr:sp macro="" textlink="">
      <xdr:nvSpPr>
        <xdr:cNvPr id="36311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3AB060D3-9691-4233-B12E-5911A04349F5}"/>
            </a:ext>
          </a:extLst>
        </xdr:cNvPr>
        <xdr:cNvSpPr>
          <a:spLocks noChangeAspect="1" noChangeArrowheads="1"/>
        </xdr:cNvSpPr>
      </xdr:nvSpPr>
      <xdr:spPr bwMode="auto">
        <a:xfrm>
          <a:off x="4592216" y="2200275"/>
          <a:ext cx="304800" cy="302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58316</xdr:colOff>
      <xdr:row>8</xdr:row>
      <xdr:rowOff>476250</xdr:rowOff>
    </xdr:from>
    <xdr:ext cx="304800" cy="302662"/>
    <xdr:sp macro="" textlink="">
      <xdr:nvSpPr>
        <xdr:cNvPr id="36312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EA64E573-584D-4FD2-B0BC-440D7DC9A01D}"/>
            </a:ext>
          </a:extLst>
        </xdr:cNvPr>
        <xdr:cNvSpPr>
          <a:spLocks noChangeAspect="1" noChangeArrowheads="1"/>
        </xdr:cNvSpPr>
      </xdr:nvSpPr>
      <xdr:spPr bwMode="auto">
        <a:xfrm>
          <a:off x="4592216" y="2200275"/>
          <a:ext cx="304800" cy="302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58316</xdr:colOff>
      <xdr:row>8</xdr:row>
      <xdr:rowOff>476250</xdr:rowOff>
    </xdr:from>
    <xdr:ext cx="304800" cy="302662"/>
    <xdr:sp macro="" textlink="">
      <xdr:nvSpPr>
        <xdr:cNvPr id="36313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3DAEB596-16DB-4A86-8970-2E2567F6827D}"/>
            </a:ext>
          </a:extLst>
        </xdr:cNvPr>
        <xdr:cNvSpPr>
          <a:spLocks noChangeAspect="1" noChangeArrowheads="1"/>
        </xdr:cNvSpPr>
      </xdr:nvSpPr>
      <xdr:spPr bwMode="auto">
        <a:xfrm>
          <a:off x="4592216" y="2200275"/>
          <a:ext cx="304800" cy="302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8</xdr:row>
      <xdr:rowOff>476250</xdr:rowOff>
    </xdr:from>
    <xdr:ext cx="304800" cy="288656"/>
    <xdr:sp macro="" textlink="">
      <xdr:nvSpPr>
        <xdr:cNvPr id="36314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CAFB4123-5D0A-434C-9A18-50A5E570187D}"/>
            </a:ext>
          </a:extLst>
        </xdr:cNvPr>
        <xdr:cNvSpPr>
          <a:spLocks noChangeAspect="1" noChangeArrowheads="1"/>
        </xdr:cNvSpPr>
      </xdr:nvSpPr>
      <xdr:spPr bwMode="auto">
        <a:xfrm>
          <a:off x="4533900" y="2200275"/>
          <a:ext cx="304800" cy="288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47625</xdr:colOff>
      <xdr:row>8</xdr:row>
      <xdr:rowOff>328613</xdr:rowOff>
    </xdr:from>
    <xdr:ext cx="304800" cy="288656"/>
    <xdr:sp macro="" textlink="">
      <xdr:nvSpPr>
        <xdr:cNvPr id="36315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0DD93D60-B9CC-4DE5-A656-D7FF940F592E}"/>
            </a:ext>
          </a:extLst>
        </xdr:cNvPr>
        <xdr:cNvSpPr>
          <a:spLocks noChangeAspect="1" noChangeArrowheads="1"/>
        </xdr:cNvSpPr>
      </xdr:nvSpPr>
      <xdr:spPr bwMode="auto">
        <a:xfrm>
          <a:off x="4581525" y="2052638"/>
          <a:ext cx="304800" cy="288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58316</xdr:colOff>
      <xdr:row>8</xdr:row>
      <xdr:rowOff>476250</xdr:rowOff>
    </xdr:from>
    <xdr:ext cx="304800" cy="302662"/>
    <xdr:sp macro="" textlink="">
      <xdr:nvSpPr>
        <xdr:cNvPr id="36316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80608048-C0CF-46A7-8DD5-F1679DC0A5A4}"/>
            </a:ext>
          </a:extLst>
        </xdr:cNvPr>
        <xdr:cNvSpPr>
          <a:spLocks noChangeAspect="1" noChangeArrowheads="1"/>
        </xdr:cNvSpPr>
      </xdr:nvSpPr>
      <xdr:spPr bwMode="auto">
        <a:xfrm>
          <a:off x="4592216" y="2200275"/>
          <a:ext cx="304800" cy="302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58316</xdr:colOff>
      <xdr:row>8</xdr:row>
      <xdr:rowOff>476250</xdr:rowOff>
    </xdr:from>
    <xdr:ext cx="304800" cy="302662"/>
    <xdr:sp macro="" textlink="">
      <xdr:nvSpPr>
        <xdr:cNvPr id="36317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FA05DE13-C4F1-4482-B7C5-4DE952C37251}"/>
            </a:ext>
          </a:extLst>
        </xdr:cNvPr>
        <xdr:cNvSpPr>
          <a:spLocks noChangeAspect="1" noChangeArrowheads="1"/>
        </xdr:cNvSpPr>
      </xdr:nvSpPr>
      <xdr:spPr bwMode="auto">
        <a:xfrm>
          <a:off x="4592216" y="2200275"/>
          <a:ext cx="304800" cy="302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58316</xdr:colOff>
      <xdr:row>8</xdr:row>
      <xdr:rowOff>476250</xdr:rowOff>
    </xdr:from>
    <xdr:ext cx="304800" cy="302662"/>
    <xdr:sp macro="" textlink="">
      <xdr:nvSpPr>
        <xdr:cNvPr id="36318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875BB2E4-CAC4-46F6-BF55-85AD39621B4C}"/>
            </a:ext>
          </a:extLst>
        </xdr:cNvPr>
        <xdr:cNvSpPr>
          <a:spLocks noChangeAspect="1" noChangeArrowheads="1"/>
        </xdr:cNvSpPr>
      </xdr:nvSpPr>
      <xdr:spPr bwMode="auto">
        <a:xfrm>
          <a:off x="4592216" y="2200275"/>
          <a:ext cx="304800" cy="302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58316</xdr:colOff>
      <xdr:row>8</xdr:row>
      <xdr:rowOff>476250</xdr:rowOff>
    </xdr:from>
    <xdr:ext cx="304800" cy="302662"/>
    <xdr:sp macro="" textlink="">
      <xdr:nvSpPr>
        <xdr:cNvPr id="36319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2469719E-3ACE-470B-A3E2-1B5C7698A9C9}"/>
            </a:ext>
          </a:extLst>
        </xdr:cNvPr>
        <xdr:cNvSpPr>
          <a:spLocks noChangeAspect="1" noChangeArrowheads="1"/>
        </xdr:cNvSpPr>
      </xdr:nvSpPr>
      <xdr:spPr bwMode="auto">
        <a:xfrm>
          <a:off x="4592216" y="2200275"/>
          <a:ext cx="304800" cy="302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58316</xdr:colOff>
      <xdr:row>8</xdr:row>
      <xdr:rowOff>476250</xdr:rowOff>
    </xdr:from>
    <xdr:ext cx="304800" cy="302662"/>
    <xdr:sp macro="" textlink="">
      <xdr:nvSpPr>
        <xdr:cNvPr id="36320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5B15CC12-F4A0-4404-9EF6-80FE0FC71117}"/>
            </a:ext>
          </a:extLst>
        </xdr:cNvPr>
        <xdr:cNvSpPr>
          <a:spLocks noChangeAspect="1" noChangeArrowheads="1"/>
        </xdr:cNvSpPr>
      </xdr:nvSpPr>
      <xdr:spPr bwMode="auto">
        <a:xfrm>
          <a:off x="4592216" y="2200275"/>
          <a:ext cx="304800" cy="302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58316</xdr:colOff>
      <xdr:row>8</xdr:row>
      <xdr:rowOff>476250</xdr:rowOff>
    </xdr:from>
    <xdr:ext cx="304800" cy="302662"/>
    <xdr:sp macro="" textlink="">
      <xdr:nvSpPr>
        <xdr:cNvPr id="36321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74ACE705-7624-4915-902D-F9062BD6FEBD}"/>
            </a:ext>
          </a:extLst>
        </xdr:cNvPr>
        <xdr:cNvSpPr>
          <a:spLocks noChangeAspect="1" noChangeArrowheads="1"/>
        </xdr:cNvSpPr>
      </xdr:nvSpPr>
      <xdr:spPr bwMode="auto">
        <a:xfrm>
          <a:off x="4592216" y="2200275"/>
          <a:ext cx="304800" cy="302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8</xdr:row>
      <xdr:rowOff>476250</xdr:rowOff>
    </xdr:from>
    <xdr:ext cx="304800" cy="288656"/>
    <xdr:sp macro="" textlink="">
      <xdr:nvSpPr>
        <xdr:cNvPr id="36322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618E32EB-FF8D-4851-918F-D929B4656EE3}"/>
            </a:ext>
          </a:extLst>
        </xdr:cNvPr>
        <xdr:cNvSpPr>
          <a:spLocks noChangeAspect="1" noChangeArrowheads="1"/>
        </xdr:cNvSpPr>
      </xdr:nvSpPr>
      <xdr:spPr bwMode="auto">
        <a:xfrm>
          <a:off x="4533900" y="2200275"/>
          <a:ext cx="304800" cy="288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47625</xdr:colOff>
      <xdr:row>8</xdr:row>
      <xdr:rowOff>328613</xdr:rowOff>
    </xdr:from>
    <xdr:ext cx="304800" cy="288656"/>
    <xdr:sp macro="" textlink="">
      <xdr:nvSpPr>
        <xdr:cNvPr id="36323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97DA0982-8C3B-4CBE-9B7B-5E9128D5B823}"/>
            </a:ext>
          </a:extLst>
        </xdr:cNvPr>
        <xdr:cNvSpPr>
          <a:spLocks noChangeAspect="1" noChangeArrowheads="1"/>
        </xdr:cNvSpPr>
      </xdr:nvSpPr>
      <xdr:spPr bwMode="auto">
        <a:xfrm>
          <a:off x="4581525" y="2052638"/>
          <a:ext cx="304800" cy="288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58316</xdr:colOff>
      <xdr:row>8</xdr:row>
      <xdr:rowOff>476250</xdr:rowOff>
    </xdr:from>
    <xdr:ext cx="304800" cy="302662"/>
    <xdr:sp macro="" textlink="">
      <xdr:nvSpPr>
        <xdr:cNvPr id="36324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90B98AD5-B783-4C0F-AC48-DB3E5A79F7B8}"/>
            </a:ext>
          </a:extLst>
        </xdr:cNvPr>
        <xdr:cNvSpPr>
          <a:spLocks noChangeAspect="1" noChangeArrowheads="1"/>
        </xdr:cNvSpPr>
      </xdr:nvSpPr>
      <xdr:spPr bwMode="auto">
        <a:xfrm>
          <a:off x="4592216" y="2200275"/>
          <a:ext cx="304800" cy="302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58316</xdr:colOff>
      <xdr:row>8</xdr:row>
      <xdr:rowOff>476250</xdr:rowOff>
    </xdr:from>
    <xdr:ext cx="304800" cy="302662"/>
    <xdr:sp macro="" textlink="">
      <xdr:nvSpPr>
        <xdr:cNvPr id="36325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88FE0DEB-ED8B-4B3A-B7BD-D77F563C0B20}"/>
            </a:ext>
          </a:extLst>
        </xdr:cNvPr>
        <xdr:cNvSpPr>
          <a:spLocks noChangeAspect="1" noChangeArrowheads="1"/>
        </xdr:cNvSpPr>
      </xdr:nvSpPr>
      <xdr:spPr bwMode="auto">
        <a:xfrm>
          <a:off x="4592216" y="2200275"/>
          <a:ext cx="304800" cy="302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514350</xdr:colOff>
      <xdr:row>15</xdr:row>
      <xdr:rowOff>123826</xdr:rowOff>
    </xdr:from>
    <xdr:to>
      <xdr:col>1</xdr:col>
      <xdr:colOff>1885950</xdr:colOff>
      <xdr:row>31</xdr:row>
      <xdr:rowOff>76200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8D80CEA-0EA5-2922-C14D-A091274AAD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350" y="5153026"/>
          <a:ext cx="4086225" cy="3000374"/>
        </a:xfrm>
        <a:prstGeom prst="rect">
          <a:avLst/>
        </a:prstGeom>
      </xdr:spPr>
    </xdr:pic>
    <xdr:clientData/>
  </xdr:twoCellAnchor>
  <xdr:twoCellAnchor editAs="oneCell">
    <xdr:from>
      <xdr:col>2</xdr:col>
      <xdr:colOff>361950</xdr:colOff>
      <xdr:row>15</xdr:row>
      <xdr:rowOff>171449</xdr:rowOff>
    </xdr:from>
    <xdr:to>
      <xdr:col>3</xdr:col>
      <xdr:colOff>1819275</xdr:colOff>
      <xdr:row>31</xdr:row>
      <xdr:rowOff>114300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0F49EE8-C199-C130-19A2-43BEB956CE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14950" y="5200649"/>
          <a:ext cx="4333875" cy="2990851"/>
        </a:xfrm>
        <a:prstGeom prst="rect">
          <a:avLst/>
        </a:prstGeom>
      </xdr:spPr>
    </xdr:pic>
    <xdr:clientData/>
  </xdr:twoCellAnchor>
  <xdr:twoCellAnchor editAs="oneCell">
    <xdr:from>
      <xdr:col>3</xdr:col>
      <xdr:colOff>2085976</xdr:colOff>
      <xdr:row>16</xdr:row>
      <xdr:rowOff>1</xdr:rowOff>
    </xdr:from>
    <xdr:to>
      <xdr:col>7</xdr:col>
      <xdr:colOff>1</xdr:colOff>
      <xdr:row>31</xdr:row>
      <xdr:rowOff>38101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4A9CDDE-0B2C-3BDA-800F-8306440AAB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915526" y="5219701"/>
          <a:ext cx="4324350" cy="28956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590550</xdr:colOff>
      <xdr:row>0</xdr:row>
      <xdr:rowOff>171451</xdr:rowOff>
    </xdr:from>
    <xdr:to>
      <xdr:col>1</xdr:col>
      <xdr:colOff>1866900</xdr:colOff>
      <xdr:row>4</xdr:row>
      <xdr:rowOff>169713</xdr:rowOff>
    </xdr:to>
    <xdr:pic>
      <xdr:nvPicPr>
        <xdr:cNvPr id="2" name="0 Imagen">
          <a:extLst>
            <a:ext uri="{FF2B5EF4-FFF2-40B4-BE49-F238E27FC236}">
              <a16:creationId xmlns:a16="http://schemas.microsoft.com/office/drawing/2014/main" id="{B6AC7C90-CDA3-4DFF-AFAA-83F9625814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07" t="8849" b="7716"/>
        <a:stretch>
          <a:fillRect/>
        </a:stretch>
      </xdr:blipFill>
      <xdr:spPr bwMode="auto">
        <a:xfrm>
          <a:off x="590550" y="171451"/>
          <a:ext cx="2038350" cy="7602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58316</xdr:colOff>
      <xdr:row>8</xdr:row>
      <xdr:rowOff>476250</xdr:rowOff>
    </xdr:from>
    <xdr:to>
      <xdr:col>2</xdr:col>
      <xdr:colOff>363116</xdr:colOff>
      <xdr:row>10</xdr:row>
      <xdr:rowOff>104217</xdr:rowOff>
    </xdr:to>
    <xdr:sp macro="" textlink="">
      <xdr:nvSpPr>
        <xdr:cNvPr id="3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4AB546CC-00D5-4DEF-B694-62762F7D822F}"/>
            </a:ext>
          </a:extLst>
        </xdr:cNvPr>
        <xdr:cNvSpPr>
          <a:spLocks noChangeAspect="1" noChangeArrowheads="1"/>
        </xdr:cNvSpPr>
      </xdr:nvSpPr>
      <xdr:spPr bwMode="auto">
        <a:xfrm>
          <a:off x="3754016" y="2200275"/>
          <a:ext cx="304800" cy="2947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58316</xdr:colOff>
      <xdr:row>8</xdr:row>
      <xdr:rowOff>476250</xdr:rowOff>
    </xdr:from>
    <xdr:to>
      <xdr:col>2</xdr:col>
      <xdr:colOff>363116</xdr:colOff>
      <xdr:row>10</xdr:row>
      <xdr:rowOff>104217</xdr:rowOff>
    </xdr:to>
    <xdr:sp macro="" textlink="">
      <xdr:nvSpPr>
        <xdr:cNvPr id="4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E4D85215-A1D9-4284-A4F4-69994487F206}"/>
            </a:ext>
          </a:extLst>
        </xdr:cNvPr>
        <xdr:cNvSpPr>
          <a:spLocks noChangeAspect="1" noChangeArrowheads="1"/>
        </xdr:cNvSpPr>
      </xdr:nvSpPr>
      <xdr:spPr bwMode="auto">
        <a:xfrm>
          <a:off x="3754016" y="2200275"/>
          <a:ext cx="304800" cy="2947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58316</xdr:colOff>
      <xdr:row>8</xdr:row>
      <xdr:rowOff>476250</xdr:rowOff>
    </xdr:from>
    <xdr:to>
      <xdr:col>2</xdr:col>
      <xdr:colOff>363116</xdr:colOff>
      <xdr:row>10</xdr:row>
      <xdr:rowOff>104217</xdr:rowOff>
    </xdr:to>
    <xdr:sp macro="" textlink="">
      <xdr:nvSpPr>
        <xdr:cNvPr id="5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0EE07F71-5075-4424-AE7C-0CF2D0FE29B1}"/>
            </a:ext>
          </a:extLst>
        </xdr:cNvPr>
        <xdr:cNvSpPr>
          <a:spLocks noChangeAspect="1" noChangeArrowheads="1"/>
        </xdr:cNvSpPr>
      </xdr:nvSpPr>
      <xdr:spPr bwMode="auto">
        <a:xfrm>
          <a:off x="3754016" y="2200275"/>
          <a:ext cx="304800" cy="2947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13</xdr:row>
      <xdr:rowOff>0</xdr:rowOff>
    </xdr:from>
    <xdr:ext cx="304800" cy="314325"/>
    <xdr:sp macro="" textlink="">
      <xdr:nvSpPr>
        <xdr:cNvPr id="6" name="Shape 3" descr="directorio ong Médicos del Mundo Francia México, A.C. - hacesfalta.org.mx">
          <a:extLst>
            <a:ext uri="{FF2B5EF4-FFF2-40B4-BE49-F238E27FC236}">
              <a16:creationId xmlns:a16="http://schemas.microsoft.com/office/drawing/2014/main" id="{6A53E5DB-F19A-46E5-A896-37224BC1ACBF}"/>
            </a:ext>
          </a:extLst>
        </xdr:cNvPr>
        <xdr:cNvSpPr/>
      </xdr:nvSpPr>
      <xdr:spPr>
        <a:xfrm>
          <a:off x="3695700" y="32651700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twoCellAnchor editAs="oneCell">
    <xdr:from>
      <xdr:col>3</xdr:col>
      <xdr:colOff>58316</xdr:colOff>
      <xdr:row>8</xdr:row>
      <xdr:rowOff>476250</xdr:rowOff>
    </xdr:from>
    <xdr:to>
      <xdr:col>3</xdr:col>
      <xdr:colOff>363116</xdr:colOff>
      <xdr:row>13</xdr:row>
      <xdr:rowOff>80123</xdr:rowOff>
    </xdr:to>
    <xdr:sp macro="" textlink="">
      <xdr:nvSpPr>
        <xdr:cNvPr id="7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3803C8F9-4653-4C0D-8D00-F38823AE673F}"/>
            </a:ext>
          </a:extLst>
        </xdr:cNvPr>
        <xdr:cNvSpPr>
          <a:spLocks noChangeAspect="1" noChangeArrowheads="1"/>
        </xdr:cNvSpPr>
      </xdr:nvSpPr>
      <xdr:spPr bwMode="auto">
        <a:xfrm>
          <a:off x="5058941" y="2200275"/>
          <a:ext cx="304800" cy="8421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58316</xdr:colOff>
      <xdr:row>8</xdr:row>
      <xdr:rowOff>476250</xdr:rowOff>
    </xdr:from>
    <xdr:ext cx="304800" cy="302662"/>
    <xdr:sp macro="" textlink="">
      <xdr:nvSpPr>
        <xdr:cNvPr id="8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04599F0A-80CF-48B6-9F03-5C9135E5D96B}"/>
            </a:ext>
          </a:extLst>
        </xdr:cNvPr>
        <xdr:cNvSpPr>
          <a:spLocks noChangeAspect="1" noChangeArrowheads="1"/>
        </xdr:cNvSpPr>
      </xdr:nvSpPr>
      <xdr:spPr bwMode="auto">
        <a:xfrm>
          <a:off x="5058941" y="2200275"/>
          <a:ext cx="304800" cy="302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58316</xdr:colOff>
      <xdr:row>8</xdr:row>
      <xdr:rowOff>476250</xdr:rowOff>
    </xdr:from>
    <xdr:ext cx="304800" cy="302662"/>
    <xdr:sp macro="" textlink="">
      <xdr:nvSpPr>
        <xdr:cNvPr id="9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31C704EB-157C-4281-B8BD-0CDA36A02391}"/>
            </a:ext>
          </a:extLst>
        </xdr:cNvPr>
        <xdr:cNvSpPr>
          <a:spLocks noChangeAspect="1" noChangeArrowheads="1"/>
        </xdr:cNvSpPr>
      </xdr:nvSpPr>
      <xdr:spPr bwMode="auto">
        <a:xfrm>
          <a:off x="5058941" y="2200275"/>
          <a:ext cx="304800" cy="302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58316</xdr:colOff>
      <xdr:row>8</xdr:row>
      <xdr:rowOff>476250</xdr:rowOff>
    </xdr:from>
    <xdr:ext cx="304800" cy="302662"/>
    <xdr:sp macro="" textlink="">
      <xdr:nvSpPr>
        <xdr:cNvPr id="10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3B8C285F-4252-4F51-AE66-C5E642A02F8D}"/>
            </a:ext>
          </a:extLst>
        </xdr:cNvPr>
        <xdr:cNvSpPr>
          <a:spLocks noChangeAspect="1" noChangeArrowheads="1"/>
        </xdr:cNvSpPr>
      </xdr:nvSpPr>
      <xdr:spPr bwMode="auto">
        <a:xfrm>
          <a:off x="5058941" y="2200275"/>
          <a:ext cx="304800" cy="302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8</xdr:row>
      <xdr:rowOff>476250</xdr:rowOff>
    </xdr:from>
    <xdr:to>
      <xdr:col>3</xdr:col>
      <xdr:colOff>304800</xdr:colOff>
      <xdr:row>10</xdr:row>
      <xdr:rowOff>94692</xdr:rowOff>
    </xdr:to>
    <xdr:sp macro="" textlink="">
      <xdr:nvSpPr>
        <xdr:cNvPr id="11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7EB567A1-1FA8-4359-997C-D22566B653C3}"/>
            </a:ext>
          </a:extLst>
        </xdr:cNvPr>
        <xdr:cNvSpPr>
          <a:spLocks noChangeAspect="1" noChangeArrowheads="1"/>
        </xdr:cNvSpPr>
      </xdr:nvSpPr>
      <xdr:spPr bwMode="auto">
        <a:xfrm>
          <a:off x="5000625" y="2200275"/>
          <a:ext cx="304800" cy="2851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47625</xdr:colOff>
      <xdr:row>8</xdr:row>
      <xdr:rowOff>328613</xdr:rowOff>
    </xdr:from>
    <xdr:to>
      <xdr:col>3</xdr:col>
      <xdr:colOff>352425</xdr:colOff>
      <xdr:row>10</xdr:row>
      <xdr:rowOff>92528</xdr:rowOff>
    </xdr:to>
    <xdr:sp macro="" textlink="">
      <xdr:nvSpPr>
        <xdr:cNvPr id="12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05A290FE-5C70-4EC0-B058-02B8BD846994}"/>
            </a:ext>
          </a:extLst>
        </xdr:cNvPr>
        <xdr:cNvSpPr>
          <a:spLocks noChangeAspect="1" noChangeArrowheads="1"/>
        </xdr:cNvSpPr>
      </xdr:nvSpPr>
      <xdr:spPr bwMode="auto">
        <a:xfrm>
          <a:off x="5048250" y="2052638"/>
          <a:ext cx="304800" cy="2877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58316</xdr:colOff>
      <xdr:row>8</xdr:row>
      <xdr:rowOff>476250</xdr:rowOff>
    </xdr:from>
    <xdr:ext cx="304800" cy="302662"/>
    <xdr:sp macro="" textlink="">
      <xdr:nvSpPr>
        <xdr:cNvPr id="13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8412B566-2A3C-41E4-A907-68F003431BC7}"/>
            </a:ext>
          </a:extLst>
        </xdr:cNvPr>
        <xdr:cNvSpPr>
          <a:spLocks noChangeAspect="1" noChangeArrowheads="1"/>
        </xdr:cNvSpPr>
      </xdr:nvSpPr>
      <xdr:spPr bwMode="auto">
        <a:xfrm>
          <a:off x="5058941" y="2200275"/>
          <a:ext cx="304800" cy="302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58316</xdr:colOff>
      <xdr:row>8</xdr:row>
      <xdr:rowOff>476250</xdr:rowOff>
    </xdr:from>
    <xdr:ext cx="304800" cy="302662"/>
    <xdr:sp macro="" textlink="">
      <xdr:nvSpPr>
        <xdr:cNvPr id="14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320E18CE-F11D-495D-AD26-E4FEDD632569}"/>
            </a:ext>
          </a:extLst>
        </xdr:cNvPr>
        <xdr:cNvSpPr>
          <a:spLocks noChangeAspect="1" noChangeArrowheads="1"/>
        </xdr:cNvSpPr>
      </xdr:nvSpPr>
      <xdr:spPr bwMode="auto">
        <a:xfrm>
          <a:off x="5058941" y="2200275"/>
          <a:ext cx="304800" cy="302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58316</xdr:colOff>
      <xdr:row>8</xdr:row>
      <xdr:rowOff>476250</xdr:rowOff>
    </xdr:from>
    <xdr:ext cx="304800" cy="302662"/>
    <xdr:sp macro="" textlink="">
      <xdr:nvSpPr>
        <xdr:cNvPr id="15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C842EF4B-F383-49B3-AF02-EC494B8C02FB}"/>
            </a:ext>
          </a:extLst>
        </xdr:cNvPr>
        <xdr:cNvSpPr>
          <a:spLocks noChangeAspect="1" noChangeArrowheads="1"/>
        </xdr:cNvSpPr>
      </xdr:nvSpPr>
      <xdr:spPr bwMode="auto">
        <a:xfrm>
          <a:off x="5058941" y="2200275"/>
          <a:ext cx="304800" cy="302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58316</xdr:colOff>
      <xdr:row>8</xdr:row>
      <xdr:rowOff>476250</xdr:rowOff>
    </xdr:from>
    <xdr:ext cx="304800" cy="302662"/>
    <xdr:sp macro="" textlink="">
      <xdr:nvSpPr>
        <xdr:cNvPr id="16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ED65C2DF-DABE-401A-A356-B2F53F8FF2F4}"/>
            </a:ext>
          </a:extLst>
        </xdr:cNvPr>
        <xdr:cNvSpPr>
          <a:spLocks noChangeAspect="1" noChangeArrowheads="1"/>
        </xdr:cNvSpPr>
      </xdr:nvSpPr>
      <xdr:spPr bwMode="auto">
        <a:xfrm>
          <a:off x="5058941" y="2200275"/>
          <a:ext cx="304800" cy="302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58316</xdr:colOff>
      <xdr:row>8</xdr:row>
      <xdr:rowOff>476250</xdr:rowOff>
    </xdr:from>
    <xdr:ext cx="304800" cy="302662"/>
    <xdr:sp macro="" textlink="">
      <xdr:nvSpPr>
        <xdr:cNvPr id="17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FD35BB7C-484B-4BDA-93E8-445674A662DA}"/>
            </a:ext>
          </a:extLst>
        </xdr:cNvPr>
        <xdr:cNvSpPr>
          <a:spLocks noChangeAspect="1" noChangeArrowheads="1"/>
        </xdr:cNvSpPr>
      </xdr:nvSpPr>
      <xdr:spPr bwMode="auto">
        <a:xfrm>
          <a:off x="5058941" y="2200275"/>
          <a:ext cx="304800" cy="302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58316</xdr:colOff>
      <xdr:row>8</xdr:row>
      <xdr:rowOff>476250</xdr:rowOff>
    </xdr:from>
    <xdr:ext cx="304800" cy="302662"/>
    <xdr:sp macro="" textlink="">
      <xdr:nvSpPr>
        <xdr:cNvPr id="18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42D7E967-E31A-4324-BCAE-80953AB9EDFA}"/>
            </a:ext>
          </a:extLst>
        </xdr:cNvPr>
        <xdr:cNvSpPr>
          <a:spLocks noChangeAspect="1" noChangeArrowheads="1"/>
        </xdr:cNvSpPr>
      </xdr:nvSpPr>
      <xdr:spPr bwMode="auto">
        <a:xfrm>
          <a:off x="5058941" y="2200275"/>
          <a:ext cx="304800" cy="302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8</xdr:row>
      <xdr:rowOff>476250</xdr:rowOff>
    </xdr:from>
    <xdr:to>
      <xdr:col>3</xdr:col>
      <xdr:colOff>304800</xdr:colOff>
      <xdr:row>10</xdr:row>
      <xdr:rowOff>94692</xdr:rowOff>
    </xdr:to>
    <xdr:sp macro="" textlink="">
      <xdr:nvSpPr>
        <xdr:cNvPr id="19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7D9F4EAD-6B11-4398-A09D-03020DB3C2FF}"/>
            </a:ext>
          </a:extLst>
        </xdr:cNvPr>
        <xdr:cNvSpPr>
          <a:spLocks noChangeAspect="1" noChangeArrowheads="1"/>
        </xdr:cNvSpPr>
      </xdr:nvSpPr>
      <xdr:spPr bwMode="auto">
        <a:xfrm>
          <a:off x="5000625" y="2200275"/>
          <a:ext cx="304800" cy="2851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47625</xdr:colOff>
      <xdr:row>8</xdr:row>
      <xdr:rowOff>328613</xdr:rowOff>
    </xdr:from>
    <xdr:to>
      <xdr:col>3</xdr:col>
      <xdr:colOff>352425</xdr:colOff>
      <xdr:row>10</xdr:row>
      <xdr:rowOff>92528</xdr:rowOff>
    </xdr:to>
    <xdr:sp macro="" textlink="">
      <xdr:nvSpPr>
        <xdr:cNvPr id="20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F01C3D99-C9E5-4AAA-94B8-03BE89EFC6F4}"/>
            </a:ext>
          </a:extLst>
        </xdr:cNvPr>
        <xdr:cNvSpPr>
          <a:spLocks noChangeAspect="1" noChangeArrowheads="1"/>
        </xdr:cNvSpPr>
      </xdr:nvSpPr>
      <xdr:spPr bwMode="auto">
        <a:xfrm>
          <a:off x="5048250" y="2052638"/>
          <a:ext cx="304800" cy="2877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58316</xdr:colOff>
      <xdr:row>8</xdr:row>
      <xdr:rowOff>476250</xdr:rowOff>
    </xdr:from>
    <xdr:ext cx="304800" cy="302662"/>
    <xdr:sp macro="" textlink="">
      <xdr:nvSpPr>
        <xdr:cNvPr id="21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8E038D72-C451-4F5F-85E7-C7BB127D2934}"/>
            </a:ext>
          </a:extLst>
        </xdr:cNvPr>
        <xdr:cNvSpPr>
          <a:spLocks noChangeAspect="1" noChangeArrowheads="1"/>
        </xdr:cNvSpPr>
      </xdr:nvSpPr>
      <xdr:spPr bwMode="auto">
        <a:xfrm>
          <a:off x="5058941" y="2200275"/>
          <a:ext cx="304800" cy="302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58316</xdr:colOff>
      <xdr:row>8</xdr:row>
      <xdr:rowOff>476250</xdr:rowOff>
    </xdr:from>
    <xdr:ext cx="304800" cy="302662"/>
    <xdr:sp macro="" textlink="">
      <xdr:nvSpPr>
        <xdr:cNvPr id="22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ABAAC31F-03D5-48DA-9C63-A4D750293029}"/>
            </a:ext>
          </a:extLst>
        </xdr:cNvPr>
        <xdr:cNvSpPr>
          <a:spLocks noChangeAspect="1" noChangeArrowheads="1"/>
        </xdr:cNvSpPr>
      </xdr:nvSpPr>
      <xdr:spPr bwMode="auto">
        <a:xfrm>
          <a:off x="5058941" y="2200275"/>
          <a:ext cx="304800" cy="302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58316</xdr:colOff>
      <xdr:row>8</xdr:row>
      <xdr:rowOff>476250</xdr:rowOff>
    </xdr:from>
    <xdr:ext cx="304800" cy="298181"/>
    <xdr:sp macro="" textlink="">
      <xdr:nvSpPr>
        <xdr:cNvPr id="23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E1ED6D8C-047D-4AFB-ABFF-50F0F7EBD50A}"/>
            </a:ext>
          </a:extLst>
        </xdr:cNvPr>
        <xdr:cNvSpPr>
          <a:spLocks noChangeAspect="1" noChangeArrowheads="1"/>
        </xdr:cNvSpPr>
      </xdr:nvSpPr>
      <xdr:spPr bwMode="auto">
        <a:xfrm>
          <a:off x="10592966" y="2200275"/>
          <a:ext cx="304800" cy="2981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58316</xdr:colOff>
      <xdr:row>8</xdr:row>
      <xdr:rowOff>476250</xdr:rowOff>
    </xdr:from>
    <xdr:ext cx="304800" cy="298181"/>
    <xdr:sp macro="" textlink="">
      <xdr:nvSpPr>
        <xdr:cNvPr id="24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B167FA1F-2159-422C-BB1B-92F5FFC0FAE7}"/>
            </a:ext>
          </a:extLst>
        </xdr:cNvPr>
        <xdr:cNvSpPr>
          <a:spLocks noChangeAspect="1" noChangeArrowheads="1"/>
        </xdr:cNvSpPr>
      </xdr:nvSpPr>
      <xdr:spPr bwMode="auto">
        <a:xfrm>
          <a:off x="10592966" y="2200275"/>
          <a:ext cx="304800" cy="2981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58316</xdr:colOff>
      <xdr:row>8</xdr:row>
      <xdr:rowOff>476250</xdr:rowOff>
    </xdr:from>
    <xdr:ext cx="304800" cy="298181"/>
    <xdr:sp macro="" textlink="">
      <xdr:nvSpPr>
        <xdr:cNvPr id="25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E9A0C61F-F885-4319-BD74-3EF715A33E64}"/>
            </a:ext>
          </a:extLst>
        </xdr:cNvPr>
        <xdr:cNvSpPr>
          <a:spLocks noChangeAspect="1" noChangeArrowheads="1"/>
        </xdr:cNvSpPr>
      </xdr:nvSpPr>
      <xdr:spPr bwMode="auto">
        <a:xfrm>
          <a:off x="10592966" y="2200275"/>
          <a:ext cx="304800" cy="2981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14325"/>
    <xdr:sp macro="" textlink="">
      <xdr:nvSpPr>
        <xdr:cNvPr id="26" name="Shape 3" descr="directorio ong Médicos del Mundo Francia México, A.C. - hacesfalta.org.mx">
          <a:extLst>
            <a:ext uri="{FF2B5EF4-FFF2-40B4-BE49-F238E27FC236}">
              <a16:creationId xmlns:a16="http://schemas.microsoft.com/office/drawing/2014/main" id="{296F629D-0689-49CD-9DA7-D5B8613C0849}"/>
            </a:ext>
          </a:extLst>
        </xdr:cNvPr>
        <xdr:cNvSpPr/>
      </xdr:nvSpPr>
      <xdr:spPr>
        <a:xfrm>
          <a:off x="10534650" y="32651700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58316</xdr:colOff>
      <xdr:row>8</xdr:row>
      <xdr:rowOff>476250</xdr:rowOff>
    </xdr:from>
    <xdr:ext cx="304800" cy="845587"/>
    <xdr:sp macro="" textlink="">
      <xdr:nvSpPr>
        <xdr:cNvPr id="27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CF019B98-33A5-457C-B93A-E33D8199BDFE}"/>
            </a:ext>
          </a:extLst>
        </xdr:cNvPr>
        <xdr:cNvSpPr>
          <a:spLocks noChangeAspect="1" noChangeArrowheads="1"/>
        </xdr:cNvSpPr>
      </xdr:nvSpPr>
      <xdr:spPr bwMode="auto">
        <a:xfrm>
          <a:off x="11364491" y="2200275"/>
          <a:ext cx="304800" cy="8455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58316</xdr:colOff>
      <xdr:row>8</xdr:row>
      <xdr:rowOff>476250</xdr:rowOff>
    </xdr:from>
    <xdr:ext cx="304800" cy="302662"/>
    <xdr:sp macro="" textlink="">
      <xdr:nvSpPr>
        <xdr:cNvPr id="28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0BD94379-4743-41D7-8307-8383B68033E2}"/>
            </a:ext>
          </a:extLst>
        </xdr:cNvPr>
        <xdr:cNvSpPr>
          <a:spLocks noChangeAspect="1" noChangeArrowheads="1"/>
        </xdr:cNvSpPr>
      </xdr:nvSpPr>
      <xdr:spPr bwMode="auto">
        <a:xfrm>
          <a:off x="11364491" y="2200275"/>
          <a:ext cx="304800" cy="302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58316</xdr:colOff>
      <xdr:row>8</xdr:row>
      <xdr:rowOff>476250</xdr:rowOff>
    </xdr:from>
    <xdr:ext cx="304800" cy="302662"/>
    <xdr:sp macro="" textlink="">
      <xdr:nvSpPr>
        <xdr:cNvPr id="29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0E497783-90B2-4FFD-9FDC-21FEE84945D3}"/>
            </a:ext>
          </a:extLst>
        </xdr:cNvPr>
        <xdr:cNvSpPr>
          <a:spLocks noChangeAspect="1" noChangeArrowheads="1"/>
        </xdr:cNvSpPr>
      </xdr:nvSpPr>
      <xdr:spPr bwMode="auto">
        <a:xfrm>
          <a:off x="11364491" y="2200275"/>
          <a:ext cx="304800" cy="302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58316</xdr:colOff>
      <xdr:row>8</xdr:row>
      <xdr:rowOff>476250</xdr:rowOff>
    </xdr:from>
    <xdr:ext cx="304800" cy="302662"/>
    <xdr:sp macro="" textlink="">
      <xdr:nvSpPr>
        <xdr:cNvPr id="30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BC2CECC6-F479-4F9F-95E6-BC7FF55B2FB9}"/>
            </a:ext>
          </a:extLst>
        </xdr:cNvPr>
        <xdr:cNvSpPr>
          <a:spLocks noChangeAspect="1" noChangeArrowheads="1"/>
        </xdr:cNvSpPr>
      </xdr:nvSpPr>
      <xdr:spPr bwMode="auto">
        <a:xfrm>
          <a:off x="11364491" y="2200275"/>
          <a:ext cx="304800" cy="302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</xdr:row>
      <xdr:rowOff>476250</xdr:rowOff>
    </xdr:from>
    <xdr:ext cx="304800" cy="288656"/>
    <xdr:sp macro="" textlink="">
      <xdr:nvSpPr>
        <xdr:cNvPr id="31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582C5F39-8B5C-47E2-A5AD-3772F7733839}"/>
            </a:ext>
          </a:extLst>
        </xdr:cNvPr>
        <xdr:cNvSpPr>
          <a:spLocks noChangeAspect="1" noChangeArrowheads="1"/>
        </xdr:cNvSpPr>
      </xdr:nvSpPr>
      <xdr:spPr bwMode="auto">
        <a:xfrm>
          <a:off x="11306175" y="2200275"/>
          <a:ext cx="304800" cy="288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47625</xdr:colOff>
      <xdr:row>8</xdr:row>
      <xdr:rowOff>328613</xdr:rowOff>
    </xdr:from>
    <xdr:ext cx="304800" cy="288656"/>
    <xdr:sp macro="" textlink="">
      <xdr:nvSpPr>
        <xdr:cNvPr id="32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2DA268A2-BA77-4FFB-9343-0823A3E9FFCC}"/>
            </a:ext>
          </a:extLst>
        </xdr:cNvPr>
        <xdr:cNvSpPr>
          <a:spLocks noChangeAspect="1" noChangeArrowheads="1"/>
        </xdr:cNvSpPr>
      </xdr:nvSpPr>
      <xdr:spPr bwMode="auto">
        <a:xfrm>
          <a:off x="11353800" y="2052638"/>
          <a:ext cx="304800" cy="288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58316</xdr:colOff>
      <xdr:row>8</xdr:row>
      <xdr:rowOff>476250</xdr:rowOff>
    </xdr:from>
    <xdr:ext cx="304800" cy="302662"/>
    <xdr:sp macro="" textlink="">
      <xdr:nvSpPr>
        <xdr:cNvPr id="33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AECB7732-C3B7-4CE1-9889-420F8926DC7C}"/>
            </a:ext>
          </a:extLst>
        </xdr:cNvPr>
        <xdr:cNvSpPr>
          <a:spLocks noChangeAspect="1" noChangeArrowheads="1"/>
        </xdr:cNvSpPr>
      </xdr:nvSpPr>
      <xdr:spPr bwMode="auto">
        <a:xfrm>
          <a:off x="11364491" y="2200275"/>
          <a:ext cx="304800" cy="302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58316</xdr:colOff>
      <xdr:row>8</xdr:row>
      <xdr:rowOff>476250</xdr:rowOff>
    </xdr:from>
    <xdr:ext cx="304800" cy="302662"/>
    <xdr:sp macro="" textlink="">
      <xdr:nvSpPr>
        <xdr:cNvPr id="34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5936BAAC-78F6-4984-BAA3-1B80E741A4F2}"/>
            </a:ext>
          </a:extLst>
        </xdr:cNvPr>
        <xdr:cNvSpPr>
          <a:spLocks noChangeAspect="1" noChangeArrowheads="1"/>
        </xdr:cNvSpPr>
      </xdr:nvSpPr>
      <xdr:spPr bwMode="auto">
        <a:xfrm>
          <a:off x="11364491" y="2200275"/>
          <a:ext cx="304800" cy="302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58316</xdr:colOff>
      <xdr:row>8</xdr:row>
      <xdr:rowOff>476250</xdr:rowOff>
    </xdr:from>
    <xdr:ext cx="304800" cy="302662"/>
    <xdr:sp macro="" textlink="">
      <xdr:nvSpPr>
        <xdr:cNvPr id="35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E50792F5-DF12-4EBC-BAB4-7324F3AC5E5B}"/>
            </a:ext>
          </a:extLst>
        </xdr:cNvPr>
        <xdr:cNvSpPr>
          <a:spLocks noChangeAspect="1" noChangeArrowheads="1"/>
        </xdr:cNvSpPr>
      </xdr:nvSpPr>
      <xdr:spPr bwMode="auto">
        <a:xfrm>
          <a:off x="11364491" y="2200275"/>
          <a:ext cx="304800" cy="302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58316</xdr:colOff>
      <xdr:row>8</xdr:row>
      <xdr:rowOff>476250</xdr:rowOff>
    </xdr:from>
    <xdr:ext cx="304800" cy="302662"/>
    <xdr:sp macro="" textlink="">
      <xdr:nvSpPr>
        <xdr:cNvPr id="36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E0108D3B-D0AF-484A-8662-23829C1D66B7}"/>
            </a:ext>
          </a:extLst>
        </xdr:cNvPr>
        <xdr:cNvSpPr>
          <a:spLocks noChangeAspect="1" noChangeArrowheads="1"/>
        </xdr:cNvSpPr>
      </xdr:nvSpPr>
      <xdr:spPr bwMode="auto">
        <a:xfrm>
          <a:off x="11364491" y="2200275"/>
          <a:ext cx="304800" cy="302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58316</xdr:colOff>
      <xdr:row>8</xdr:row>
      <xdr:rowOff>476250</xdr:rowOff>
    </xdr:from>
    <xdr:ext cx="304800" cy="302662"/>
    <xdr:sp macro="" textlink="">
      <xdr:nvSpPr>
        <xdr:cNvPr id="37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E079FF12-2DC4-488A-BC24-F0CCBBA3A564}"/>
            </a:ext>
          </a:extLst>
        </xdr:cNvPr>
        <xdr:cNvSpPr>
          <a:spLocks noChangeAspect="1" noChangeArrowheads="1"/>
        </xdr:cNvSpPr>
      </xdr:nvSpPr>
      <xdr:spPr bwMode="auto">
        <a:xfrm>
          <a:off x="11364491" y="2200275"/>
          <a:ext cx="304800" cy="302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58316</xdr:colOff>
      <xdr:row>8</xdr:row>
      <xdr:rowOff>476250</xdr:rowOff>
    </xdr:from>
    <xdr:ext cx="304800" cy="302662"/>
    <xdr:sp macro="" textlink="">
      <xdr:nvSpPr>
        <xdr:cNvPr id="38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3ECC99F0-BF52-47FB-8519-4DD2DA04C08D}"/>
            </a:ext>
          </a:extLst>
        </xdr:cNvPr>
        <xdr:cNvSpPr>
          <a:spLocks noChangeAspect="1" noChangeArrowheads="1"/>
        </xdr:cNvSpPr>
      </xdr:nvSpPr>
      <xdr:spPr bwMode="auto">
        <a:xfrm>
          <a:off x="11364491" y="2200275"/>
          <a:ext cx="304800" cy="302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</xdr:row>
      <xdr:rowOff>476250</xdr:rowOff>
    </xdr:from>
    <xdr:ext cx="304800" cy="288656"/>
    <xdr:sp macro="" textlink="">
      <xdr:nvSpPr>
        <xdr:cNvPr id="39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58623107-9A2E-4203-AD98-085B00A7E2D4}"/>
            </a:ext>
          </a:extLst>
        </xdr:cNvPr>
        <xdr:cNvSpPr>
          <a:spLocks noChangeAspect="1" noChangeArrowheads="1"/>
        </xdr:cNvSpPr>
      </xdr:nvSpPr>
      <xdr:spPr bwMode="auto">
        <a:xfrm>
          <a:off x="11306175" y="2200275"/>
          <a:ext cx="304800" cy="288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47625</xdr:colOff>
      <xdr:row>8</xdr:row>
      <xdr:rowOff>328613</xdr:rowOff>
    </xdr:from>
    <xdr:ext cx="304800" cy="288656"/>
    <xdr:sp macro="" textlink="">
      <xdr:nvSpPr>
        <xdr:cNvPr id="40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95BC4CD6-5CCA-424E-B4A3-57AD4F04117A}"/>
            </a:ext>
          </a:extLst>
        </xdr:cNvPr>
        <xdr:cNvSpPr>
          <a:spLocks noChangeAspect="1" noChangeArrowheads="1"/>
        </xdr:cNvSpPr>
      </xdr:nvSpPr>
      <xdr:spPr bwMode="auto">
        <a:xfrm>
          <a:off x="11353800" y="2052638"/>
          <a:ext cx="304800" cy="288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58316</xdr:colOff>
      <xdr:row>8</xdr:row>
      <xdr:rowOff>476250</xdr:rowOff>
    </xdr:from>
    <xdr:ext cx="304800" cy="302662"/>
    <xdr:sp macro="" textlink="">
      <xdr:nvSpPr>
        <xdr:cNvPr id="41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73BD0868-30A8-4BAA-9902-7E0ADFD611F6}"/>
            </a:ext>
          </a:extLst>
        </xdr:cNvPr>
        <xdr:cNvSpPr>
          <a:spLocks noChangeAspect="1" noChangeArrowheads="1"/>
        </xdr:cNvSpPr>
      </xdr:nvSpPr>
      <xdr:spPr bwMode="auto">
        <a:xfrm>
          <a:off x="11364491" y="2200275"/>
          <a:ext cx="304800" cy="302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58316</xdr:colOff>
      <xdr:row>8</xdr:row>
      <xdr:rowOff>476250</xdr:rowOff>
    </xdr:from>
    <xdr:ext cx="304800" cy="302662"/>
    <xdr:sp macro="" textlink="">
      <xdr:nvSpPr>
        <xdr:cNvPr id="42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56993918-A57A-4B0E-9405-19DF75454C06}"/>
            </a:ext>
          </a:extLst>
        </xdr:cNvPr>
        <xdr:cNvSpPr>
          <a:spLocks noChangeAspect="1" noChangeArrowheads="1"/>
        </xdr:cNvSpPr>
      </xdr:nvSpPr>
      <xdr:spPr bwMode="auto">
        <a:xfrm>
          <a:off x="11364491" y="2200275"/>
          <a:ext cx="304800" cy="302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58316</xdr:colOff>
      <xdr:row>8</xdr:row>
      <xdr:rowOff>476250</xdr:rowOff>
    </xdr:from>
    <xdr:ext cx="304800" cy="298181"/>
    <xdr:sp macro="" textlink="">
      <xdr:nvSpPr>
        <xdr:cNvPr id="43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1278E87F-1731-43CB-9184-6ED3637E4E96}"/>
            </a:ext>
          </a:extLst>
        </xdr:cNvPr>
        <xdr:cNvSpPr>
          <a:spLocks noChangeAspect="1" noChangeArrowheads="1"/>
        </xdr:cNvSpPr>
      </xdr:nvSpPr>
      <xdr:spPr bwMode="auto">
        <a:xfrm>
          <a:off x="9830966" y="2200275"/>
          <a:ext cx="304800" cy="2981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58316</xdr:colOff>
      <xdr:row>8</xdr:row>
      <xdr:rowOff>476250</xdr:rowOff>
    </xdr:from>
    <xdr:ext cx="304800" cy="298181"/>
    <xdr:sp macro="" textlink="">
      <xdr:nvSpPr>
        <xdr:cNvPr id="44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8774A4CC-7139-4E4E-8E6C-CDF7369F9353}"/>
            </a:ext>
          </a:extLst>
        </xdr:cNvPr>
        <xdr:cNvSpPr>
          <a:spLocks noChangeAspect="1" noChangeArrowheads="1"/>
        </xdr:cNvSpPr>
      </xdr:nvSpPr>
      <xdr:spPr bwMode="auto">
        <a:xfrm>
          <a:off x="9830966" y="2200275"/>
          <a:ext cx="304800" cy="2981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58316</xdr:colOff>
      <xdr:row>8</xdr:row>
      <xdr:rowOff>476250</xdr:rowOff>
    </xdr:from>
    <xdr:ext cx="304800" cy="298181"/>
    <xdr:sp macro="" textlink="">
      <xdr:nvSpPr>
        <xdr:cNvPr id="45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719A47E0-40F2-4E63-BCDC-5392833D28CD}"/>
            </a:ext>
          </a:extLst>
        </xdr:cNvPr>
        <xdr:cNvSpPr>
          <a:spLocks noChangeAspect="1" noChangeArrowheads="1"/>
        </xdr:cNvSpPr>
      </xdr:nvSpPr>
      <xdr:spPr bwMode="auto">
        <a:xfrm>
          <a:off x="9830966" y="2200275"/>
          <a:ext cx="304800" cy="2981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13</xdr:row>
      <xdr:rowOff>0</xdr:rowOff>
    </xdr:from>
    <xdr:ext cx="304800" cy="314325"/>
    <xdr:sp macro="" textlink="">
      <xdr:nvSpPr>
        <xdr:cNvPr id="46" name="Shape 3" descr="directorio ong Médicos del Mundo Francia México, A.C. - hacesfalta.org.mx">
          <a:extLst>
            <a:ext uri="{FF2B5EF4-FFF2-40B4-BE49-F238E27FC236}">
              <a16:creationId xmlns:a16="http://schemas.microsoft.com/office/drawing/2014/main" id="{75520491-0B44-41EA-B91E-48657029036D}"/>
            </a:ext>
          </a:extLst>
        </xdr:cNvPr>
        <xdr:cNvSpPr/>
      </xdr:nvSpPr>
      <xdr:spPr>
        <a:xfrm>
          <a:off x="9772650" y="32651700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58316</xdr:colOff>
      <xdr:row>8</xdr:row>
      <xdr:rowOff>476250</xdr:rowOff>
    </xdr:from>
    <xdr:ext cx="304800" cy="845587"/>
    <xdr:sp macro="" textlink="">
      <xdr:nvSpPr>
        <xdr:cNvPr id="47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3A4367AB-A828-4261-BCFB-373F251D1F32}"/>
            </a:ext>
          </a:extLst>
        </xdr:cNvPr>
        <xdr:cNvSpPr>
          <a:spLocks noChangeAspect="1" noChangeArrowheads="1"/>
        </xdr:cNvSpPr>
      </xdr:nvSpPr>
      <xdr:spPr bwMode="auto">
        <a:xfrm>
          <a:off x="10592966" y="2200275"/>
          <a:ext cx="304800" cy="8455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58316</xdr:colOff>
      <xdr:row>8</xdr:row>
      <xdr:rowOff>476250</xdr:rowOff>
    </xdr:from>
    <xdr:ext cx="304800" cy="302662"/>
    <xdr:sp macro="" textlink="">
      <xdr:nvSpPr>
        <xdr:cNvPr id="48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7975CF48-2172-400A-9E0C-12E02AE18D0C}"/>
            </a:ext>
          </a:extLst>
        </xdr:cNvPr>
        <xdr:cNvSpPr>
          <a:spLocks noChangeAspect="1" noChangeArrowheads="1"/>
        </xdr:cNvSpPr>
      </xdr:nvSpPr>
      <xdr:spPr bwMode="auto">
        <a:xfrm>
          <a:off x="10592966" y="2200275"/>
          <a:ext cx="304800" cy="302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58316</xdr:colOff>
      <xdr:row>8</xdr:row>
      <xdr:rowOff>476250</xdr:rowOff>
    </xdr:from>
    <xdr:ext cx="304800" cy="302662"/>
    <xdr:sp macro="" textlink="">
      <xdr:nvSpPr>
        <xdr:cNvPr id="49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8A0B96D0-BFD0-44B9-B221-C33033FFC2A0}"/>
            </a:ext>
          </a:extLst>
        </xdr:cNvPr>
        <xdr:cNvSpPr>
          <a:spLocks noChangeAspect="1" noChangeArrowheads="1"/>
        </xdr:cNvSpPr>
      </xdr:nvSpPr>
      <xdr:spPr bwMode="auto">
        <a:xfrm>
          <a:off x="10592966" y="2200275"/>
          <a:ext cx="304800" cy="302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58316</xdr:colOff>
      <xdr:row>8</xdr:row>
      <xdr:rowOff>476250</xdr:rowOff>
    </xdr:from>
    <xdr:ext cx="304800" cy="302662"/>
    <xdr:sp macro="" textlink="">
      <xdr:nvSpPr>
        <xdr:cNvPr id="50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7FE08EB2-87FD-4001-BCD6-8169428BA298}"/>
            </a:ext>
          </a:extLst>
        </xdr:cNvPr>
        <xdr:cNvSpPr>
          <a:spLocks noChangeAspect="1" noChangeArrowheads="1"/>
        </xdr:cNvSpPr>
      </xdr:nvSpPr>
      <xdr:spPr bwMode="auto">
        <a:xfrm>
          <a:off x="10592966" y="2200275"/>
          <a:ext cx="304800" cy="302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</xdr:row>
      <xdr:rowOff>476250</xdr:rowOff>
    </xdr:from>
    <xdr:ext cx="304800" cy="288656"/>
    <xdr:sp macro="" textlink="">
      <xdr:nvSpPr>
        <xdr:cNvPr id="51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B386B17B-CA3D-4CF7-B8DC-6CFF7E8913FE}"/>
            </a:ext>
          </a:extLst>
        </xdr:cNvPr>
        <xdr:cNvSpPr>
          <a:spLocks noChangeAspect="1" noChangeArrowheads="1"/>
        </xdr:cNvSpPr>
      </xdr:nvSpPr>
      <xdr:spPr bwMode="auto">
        <a:xfrm>
          <a:off x="10534650" y="2200275"/>
          <a:ext cx="304800" cy="288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47625</xdr:colOff>
      <xdr:row>8</xdr:row>
      <xdr:rowOff>328613</xdr:rowOff>
    </xdr:from>
    <xdr:ext cx="304800" cy="288656"/>
    <xdr:sp macro="" textlink="">
      <xdr:nvSpPr>
        <xdr:cNvPr id="52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1DF7D816-34CF-4DF2-A1B5-AE67E1B50D2A}"/>
            </a:ext>
          </a:extLst>
        </xdr:cNvPr>
        <xdr:cNvSpPr>
          <a:spLocks noChangeAspect="1" noChangeArrowheads="1"/>
        </xdr:cNvSpPr>
      </xdr:nvSpPr>
      <xdr:spPr bwMode="auto">
        <a:xfrm>
          <a:off x="10582275" y="2052638"/>
          <a:ext cx="304800" cy="288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58316</xdr:colOff>
      <xdr:row>8</xdr:row>
      <xdr:rowOff>476250</xdr:rowOff>
    </xdr:from>
    <xdr:ext cx="304800" cy="302662"/>
    <xdr:sp macro="" textlink="">
      <xdr:nvSpPr>
        <xdr:cNvPr id="53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9755B390-9E34-4F05-89DE-5A3D68C1AAD0}"/>
            </a:ext>
          </a:extLst>
        </xdr:cNvPr>
        <xdr:cNvSpPr>
          <a:spLocks noChangeAspect="1" noChangeArrowheads="1"/>
        </xdr:cNvSpPr>
      </xdr:nvSpPr>
      <xdr:spPr bwMode="auto">
        <a:xfrm>
          <a:off x="10592966" y="2200275"/>
          <a:ext cx="304800" cy="302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58316</xdr:colOff>
      <xdr:row>8</xdr:row>
      <xdr:rowOff>476250</xdr:rowOff>
    </xdr:from>
    <xdr:ext cx="304800" cy="302662"/>
    <xdr:sp macro="" textlink="">
      <xdr:nvSpPr>
        <xdr:cNvPr id="54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6155CE9C-CDF5-4567-B946-704075A0378F}"/>
            </a:ext>
          </a:extLst>
        </xdr:cNvPr>
        <xdr:cNvSpPr>
          <a:spLocks noChangeAspect="1" noChangeArrowheads="1"/>
        </xdr:cNvSpPr>
      </xdr:nvSpPr>
      <xdr:spPr bwMode="auto">
        <a:xfrm>
          <a:off x="10592966" y="2200275"/>
          <a:ext cx="304800" cy="302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58316</xdr:colOff>
      <xdr:row>8</xdr:row>
      <xdr:rowOff>476250</xdr:rowOff>
    </xdr:from>
    <xdr:ext cx="304800" cy="302662"/>
    <xdr:sp macro="" textlink="">
      <xdr:nvSpPr>
        <xdr:cNvPr id="55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293B490E-3236-4883-87B2-483A0F7AC699}"/>
            </a:ext>
          </a:extLst>
        </xdr:cNvPr>
        <xdr:cNvSpPr>
          <a:spLocks noChangeAspect="1" noChangeArrowheads="1"/>
        </xdr:cNvSpPr>
      </xdr:nvSpPr>
      <xdr:spPr bwMode="auto">
        <a:xfrm>
          <a:off x="10592966" y="2200275"/>
          <a:ext cx="304800" cy="302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58316</xdr:colOff>
      <xdr:row>8</xdr:row>
      <xdr:rowOff>476250</xdr:rowOff>
    </xdr:from>
    <xdr:ext cx="304800" cy="302662"/>
    <xdr:sp macro="" textlink="">
      <xdr:nvSpPr>
        <xdr:cNvPr id="56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873A94F6-1EDA-4A5E-BCA3-C149A180D5B4}"/>
            </a:ext>
          </a:extLst>
        </xdr:cNvPr>
        <xdr:cNvSpPr>
          <a:spLocks noChangeAspect="1" noChangeArrowheads="1"/>
        </xdr:cNvSpPr>
      </xdr:nvSpPr>
      <xdr:spPr bwMode="auto">
        <a:xfrm>
          <a:off x="10592966" y="2200275"/>
          <a:ext cx="304800" cy="302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58316</xdr:colOff>
      <xdr:row>8</xdr:row>
      <xdr:rowOff>476250</xdr:rowOff>
    </xdr:from>
    <xdr:ext cx="304800" cy="302662"/>
    <xdr:sp macro="" textlink="">
      <xdr:nvSpPr>
        <xdr:cNvPr id="57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1CE79F0F-1F27-447F-801B-C8050D22DADD}"/>
            </a:ext>
          </a:extLst>
        </xdr:cNvPr>
        <xdr:cNvSpPr>
          <a:spLocks noChangeAspect="1" noChangeArrowheads="1"/>
        </xdr:cNvSpPr>
      </xdr:nvSpPr>
      <xdr:spPr bwMode="auto">
        <a:xfrm>
          <a:off x="10592966" y="2200275"/>
          <a:ext cx="304800" cy="302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58316</xdr:colOff>
      <xdr:row>8</xdr:row>
      <xdr:rowOff>476250</xdr:rowOff>
    </xdr:from>
    <xdr:ext cx="304800" cy="302662"/>
    <xdr:sp macro="" textlink="">
      <xdr:nvSpPr>
        <xdr:cNvPr id="58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19B7205D-EB4B-40DE-8723-2CCA79301950}"/>
            </a:ext>
          </a:extLst>
        </xdr:cNvPr>
        <xdr:cNvSpPr>
          <a:spLocks noChangeAspect="1" noChangeArrowheads="1"/>
        </xdr:cNvSpPr>
      </xdr:nvSpPr>
      <xdr:spPr bwMode="auto">
        <a:xfrm>
          <a:off x="10592966" y="2200275"/>
          <a:ext cx="304800" cy="302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</xdr:row>
      <xdr:rowOff>476250</xdr:rowOff>
    </xdr:from>
    <xdr:ext cx="304800" cy="288656"/>
    <xdr:sp macro="" textlink="">
      <xdr:nvSpPr>
        <xdr:cNvPr id="59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0B640B31-5946-4EAE-8A74-F4E6DB302008}"/>
            </a:ext>
          </a:extLst>
        </xdr:cNvPr>
        <xdr:cNvSpPr>
          <a:spLocks noChangeAspect="1" noChangeArrowheads="1"/>
        </xdr:cNvSpPr>
      </xdr:nvSpPr>
      <xdr:spPr bwMode="auto">
        <a:xfrm>
          <a:off x="10534650" y="2200275"/>
          <a:ext cx="304800" cy="288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47625</xdr:colOff>
      <xdr:row>8</xdr:row>
      <xdr:rowOff>328613</xdr:rowOff>
    </xdr:from>
    <xdr:ext cx="304800" cy="288656"/>
    <xdr:sp macro="" textlink="">
      <xdr:nvSpPr>
        <xdr:cNvPr id="60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5F554AF9-9C49-4F54-9297-9F2834E52525}"/>
            </a:ext>
          </a:extLst>
        </xdr:cNvPr>
        <xdr:cNvSpPr>
          <a:spLocks noChangeAspect="1" noChangeArrowheads="1"/>
        </xdr:cNvSpPr>
      </xdr:nvSpPr>
      <xdr:spPr bwMode="auto">
        <a:xfrm>
          <a:off x="10582275" y="2052638"/>
          <a:ext cx="304800" cy="288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58316</xdr:colOff>
      <xdr:row>8</xdr:row>
      <xdr:rowOff>476250</xdr:rowOff>
    </xdr:from>
    <xdr:ext cx="304800" cy="302662"/>
    <xdr:sp macro="" textlink="">
      <xdr:nvSpPr>
        <xdr:cNvPr id="61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A897C7D8-475C-44AF-BD43-C962544FAD51}"/>
            </a:ext>
          </a:extLst>
        </xdr:cNvPr>
        <xdr:cNvSpPr>
          <a:spLocks noChangeAspect="1" noChangeArrowheads="1"/>
        </xdr:cNvSpPr>
      </xdr:nvSpPr>
      <xdr:spPr bwMode="auto">
        <a:xfrm>
          <a:off x="10592966" y="2200275"/>
          <a:ext cx="304800" cy="302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58316</xdr:colOff>
      <xdr:row>8</xdr:row>
      <xdr:rowOff>476250</xdr:rowOff>
    </xdr:from>
    <xdr:ext cx="304800" cy="302662"/>
    <xdr:sp macro="" textlink="">
      <xdr:nvSpPr>
        <xdr:cNvPr id="62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9AE81A5B-346D-442E-8184-E11C88855DCF}"/>
            </a:ext>
          </a:extLst>
        </xdr:cNvPr>
        <xdr:cNvSpPr>
          <a:spLocks noChangeAspect="1" noChangeArrowheads="1"/>
        </xdr:cNvSpPr>
      </xdr:nvSpPr>
      <xdr:spPr bwMode="auto">
        <a:xfrm>
          <a:off x="10592966" y="2200275"/>
          <a:ext cx="304800" cy="302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58316</xdr:colOff>
      <xdr:row>8</xdr:row>
      <xdr:rowOff>476250</xdr:rowOff>
    </xdr:from>
    <xdr:ext cx="304800" cy="298181"/>
    <xdr:sp macro="" textlink="">
      <xdr:nvSpPr>
        <xdr:cNvPr id="63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3303BE2A-6441-40B5-A717-1FF5F04BB0DD}"/>
            </a:ext>
          </a:extLst>
        </xdr:cNvPr>
        <xdr:cNvSpPr>
          <a:spLocks noChangeAspect="1" noChangeArrowheads="1"/>
        </xdr:cNvSpPr>
      </xdr:nvSpPr>
      <xdr:spPr bwMode="auto">
        <a:xfrm>
          <a:off x="14279141" y="2200275"/>
          <a:ext cx="304800" cy="2981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58316</xdr:colOff>
      <xdr:row>8</xdr:row>
      <xdr:rowOff>476250</xdr:rowOff>
    </xdr:from>
    <xdr:ext cx="304800" cy="298181"/>
    <xdr:sp macro="" textlink="">
      <xdr:nvSpPr>
        <xdr:cNvPr id="64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4B33F447-A18B-413C-BB15-57895D3EFFA9}"/>
            </a:ext>
          </a:extLst>
        </xdr:cNvPr>
        <xdr:cNvSpPr>
          <a:spLocks noChangeAspect="1" noChangeArrowheads="1"/>
        </xdr:cNvSpPr>
      </xdr:nvSpPr>
      <xdr:spPr bwMode="auto">
        <a:xfrm>
          <a:off x="14279141" y="2200275"/>
          <a:ext cx="304800" cy="2981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58316</xdr:colOff>
      <xdr:row>8</xdr:row>
      <xdr:rowOff>476250</xdr:rowOff>
    </xdr:from>
    <xdr:ext cx="304800" cy="298181"/>
    <xdr:sp macro="" textlink="">
      <xdr:nvSpPr>
        <xdr:cNvPr id="65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E04E52E5-8262-4846-BC42-F6CC42406B1D}"/>
            </a:ext>
          </a:extLst>
        </xdr:cNvPr>
        <xdr:cNvSpPr>
          <a:spLocks noChangeAspect="1" noChangeArrowheads="1"/>
        </xdr:cNvSpPr>
      </xdr:nvSpPr>
      <xdr:spPr bwMode="auto">
        <a:xfrm>
          <a:off x="14279141" y="2200275"/>
          <a:ext cx="304800" cy="2981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13</xdr:row>
      <xdr:rowOff>0</xdr:rowOff>
    </xdr:from>
    <xdr:ext cx="304800" cy="314325"/>
    <xdr:sp macro="" textlink="">
      <xdr:nvSpPr>
        <xdr:cNvPr id="66" name="Shape 3" descr="directorio ong Médicos del Mundo Francia México, A.C. - hacesfalta.org.mx">
          <a:extLst>
            <a:ext uri="{FF2B5EF4-FFF2-40B4-BE49-F238E27FC236}">
              <a16:creationId xmlns:a16="http://schemas.microsoft.com/office/drawing/2014/main" id="{D83D7EEA-07ED-4945-B558-188C09E48FB8}"/>
            </a:ext>
          </a:extLst>
        </xdr:cNvPr>
        <xdr:cNvSpPr/>
      </xdr:nvSpPr>
      <xdr:spPr>
        <a:xfrm>
          <a:off x="14220825" y="32651700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58316</xdr:colOff>
      <xdr:row>8</xdr:row>
      <xdr:rowOff>476250</xdr:rowOff>
    </xdr:from>
    <xdr:ext cx="304800" cy="845587"/>
    <xdr:sp macro="" textlink="">
      <xdr:nvSpPr>
        <xdr:cNvPr id="67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D4FA743C-A271-41AE-98D8-FF881F60ACD9}"/>
            </a:ext>
          </a:extLst>
        </xdr:cNvPr>
        <xdr:cNvSpPr>
          <a:spLocks noChangeAspect="1" noChangeArrowheads="1"/>
        </xdr:cNvSpPr>
      </xdr:nvSpPr>
      <xdr:spPr bwMode="auto">
        <a:xfrm>
          <a:off x="15041141" y="2200275"/>
          <a:ext cx="304800" cy="8455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58316</xdr:colOff>
      <xdr:row>8</xdr:row>
      <xdr:rowOff>476250</xdr:rowOff>
    </xdr:from>
    <xdr:ext cx="304800" cy="302662"/>
    <xdr:sp macro="" textlink="">
      <xdr:nvSpPr>
        <xdr:cNvPr id="68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5440D26E-EE40-4D89-8978-6640DD6C762E}"/>
            </a:ext>
          </a:extLst>
        </xdr:cNvPr>
        <xdr:cNvSpPr>
          <a:spLocks noChangeAspect="1" noChangeArrowheads="1"/>
        </xdr:cNvSpPr>
      </xdr:nvSpPr>
      <xdr:spPr bwMode="auto">
        <a:xfrm>
          <a:off x="15041141" y="2200275"/>
          <a:ext cx="304800" cy="302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58316</xdr:colOff>
      <xdr:row>8</xdr:row>
      <xdr:rowOff>476250</xdr:rowOff>
    </xdr:from>
    <xdr:ext cx="304800" cy="302662"/>
    <xdr:sp macro="" textlink="">
      <xdr:nvSpPr>
        <xdr:cNvPr id="69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054C231A-9F3B-471F-BBBD-827122D72536}"/>
            </a:ext>
          </a:extLst>
        </xdr:cNvPr>
        <xdr:cNvSpPr>
          <a:spLocks noChangeAspect="1" noChangeArrowheads="1"/>
        </xdr:cNvSpPr>
      </xdr:nvSpPr>
      <xdr:spPr bwMode="auto">
        <a:xfrm>
          <a:off x="15041141" y="2200275"/>
          <a:ext cx="304800" cy="302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58316</xdr:colOff>
      <xdr:row>8</xdr:row>
      <xdr:rowOff>476250</xdr:rowOff>
    </xdr:from>
    <xdr:ext cx="304800" cy="302662"/>
    <xdr:sp macro="" textlink="">
      <xdr:nvSpPr>
        <xdr:cNvPr id="70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20A32E62-0A15-467C-9F39-C003A715B32E}"/>
            </a:ext>
          </a:extLst>
        </xdr:cNvPr>
        <xdr:cNvSpPr>
          <a:spLocks noChangeAspect="1" noChangeArrowheads="1"/>
        </xdr:cNvSpPr>
      </xdr:nvSpPr>
      <xdr:spPr bwMode="auto">
        <a:xfrm>
          <a:off x="15041141" y="2200275"/>
          <a:ext cx="304800" cy="302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</xdr:row>
      <xdr:rowOff>476250</xdr:rowOff>
    </xdr:from>
    <xdr:ext cx="304800" cy="288656"/>
    <xdr:sp macro="" textlink="">
      <xdr:nvSpPr>
        <xdr:cNvPr id="71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1F81C7EF-2C0B-41F5-A884-29CFA7FDF390}"/>
            </a:ext>
          </a:extLst>
        </xdr:cNvPr>
        <xdr:cNvSpPr>
          <a:spLocks noChangeAspect="1" noChangeArrowheads="1"/>
        </xdr:cNvSpPr>
      </xdr:nvSpPr>
      <xdr:spPr bwMode="auto">
        <a:xfrm>
          <a:off x="14982825" y="2200275"/>
          <a:ext cx="304800" cy="288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47625</xdr:colOff>
      <xdr:row>8</xdr:row>
      <xdr:rowOff>328613</xdr:rowOff>
    </xdr:from>
    <xdr:ext cx="304800" cy="288656"/>
    <xdr:sp macro="" textlink="">
      <xdr:nvSpPr>
        <xdr:cNvPr id="72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7B127B1F-3619-4E5D-8F25-05BBBC6C97F8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2052638"/>
          <a:ext cx="304800" cy="288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58316</xdr:colOff>
      <xdr:row>8</xdr:row>
      <xdr:rowOff>476250</xdr:rowOff>
    </xdr:from>
    <xdr:ext cx="304800" cy="302662"/>
    <xdr:sp macro="" textlink="">
      <xdr:nvSpPr>
        <xdr:cNvPr id="73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6217CEDB-A8DB-4000-BB35-5E850E9D1ACE}"/>
            </a:ext>
          </a:extLst>
        </xdr:cNvPr>
        <xdr:cNvSpPr>
          <a:spLocks noChangeAspect="1" noChangeArrowheads="1"/>
        </xdr:cNvSpPr>
      </xdr:nvSpPr>
      <xdr:spPr bwMode="auto">
        <a:xfrm>
          <a:off x="15041141" y="2200275"/>
          <a:ext cx="304800" cy="302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58316</xdr:colOff>
      <xdr:row>8</xdr:row>
      <xdr:rowOff>476250</xdr:rowOff>
    </xdr:from>
    <xdr:ext cx="304800" cy="302662"/>
    <xdr:sp macro="" textlink="">
      <xdr:nvSpPr>
        <xdr:cNvPr id="74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CB261F23-55C8-4EB2-8269-8AC36C103C7A}"/>
            </a:ext>
          </a:extLst>
        </xdr:cNvPr>
        <xdr:cNvSpPr>
          <a:spLocks noChangeAspect="1" noChangeArrowheads="1"/>
        </xdr:cNvSpPr>
      </xdr:nvSpPr>
      <xdr:spPr bwMode="auto">
        <a:xfrm>
          <a:off x="15041141" y="2200275"/>
          <a:ext cx="304800" cy="302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58316</xdr:colOff>
      <xdr:row>8</xdr:row>
      <xdr:rowOff>476250</xdr:rowOff>
    </xdr:from>
    <xdr:ext cx="304800" cy="302662"/>
    <xdr:sp macro="" textlink="">
      <xdr:nvSpPr>
        <xdr:cNvPr id="75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5E37AC7C-48EE-4009-ABB8-95D26D151EE0}"/>
            </a:ext>
          </a:extLst>
        </xdr:cNvPr>
        <xdr:cNvSpPr>
          <a:spLocks noChangeAspect="1" noChangeArrowheads="1"/>
        </xdr:cNvSpPr>
      </xdr:nvSpPr>
      <xdr:spPr bwMode="auto">
        <a:xfrm>
          <a:off x="15041141" y="2200275"/>
          <a:ext cx="304800" cy="302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58316</xdr:colOff>
      <xdr:row>8</xdr:row>
      <xdr:rowOff>476250</xdr:rowOff>
    </xdr:from>
    <xdr:ext cx="304800" cy="302662"/>
    <xdr:sp macro="" textlink="">
      <xdr:nvSpPr>
        <xdr:cNvPr id="76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1BDE2992-3639-4F86-8A9E-636DAB0013A6}"/>
            </a:ext>
          </a:extLst>
        </xdr:cNvPr>
        <xdr:cNvSpPr>
          <a:spLocks noChangeAspect="1" noChangeArrowheads="1"/>
        </xdr:cNvSpPr>
      </xdr:nvSpPr>
      <xdr:spPr bwMode="auto">
        <a:xfrm>
          <a:off x="15041141" y="2200275"/>
          <a:ext cx="304800" cy="302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58316</xdr:colOff>
      <xdr:row>8</xdr:row>
      <xdr:rowOff>476250</xdr:rowOff>
    </xdr:from>
    <xdr:ext cx="304800" cy="302662"/>
    <xdr:sp macro="" textlink="">
      <xdr:nvSpPr>
        <xdr:cNvPr id="77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A33CC193-EB4C-4FDF-9327-2F9DA5D80C1F}"/>
            </a:ext>
          </a:extLst>
        </xdr:cNvPr>
        <xdr:cNvSpPr>
          <a:spLocks noChangeAspect="1" noChangeArrowheads="1"/>
        </xdr:cNvSpPr>
      </xdr:nvSpPr>
      <xdr:spPr bwMode="auto">
        <a:xfrm>
          <a:off x="15041141" y="2200275"/>
          <a:ext cx="304800" cy="302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58316</xdr:colOff>
      <xdr:row>8</xdr:row>
      <xdr:rowOff>476250</xdr:rowOff>
    </xdr:from>
    <xdr:ext cx="304800" cy="302662"/>
    <xdr:sp macro="" textlink="">
      <xdr:nvSpPr>
        <xdr:cNvPr id="78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914B8EC9-5978-4ABE-8DB1-085361E70BF1}"/>
            </a:ext>
          </a:extLst>
        </xdr:cNvPr>
        <xdr:cNvSpPr>
          <a:spLocks noChangeAspect="1" noChangeArrowheads="1"/>
        </xdr:cNvSpPr>
      </xdr:nvSpPr>
      <xdr:spPr bwMode="auto">
        <a:xfrm>
          <a:off x="15041141" y="2200275"/>
          <a:ext cx="304800" cy="302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</xdr:row>
      <xdr:rowOff>476250</xdr:rowOff>
    </xdr:from>
    <xdr:ext cx="304800" cy="288656"/>
    <xdr:sp macro="" textlink="">
      <xdr:nvSpPr>
        <xdr:cNvPr id="79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6EBB7054-1E1E-4463-8001-3D4869C9B1C6}"/>
            </a:ext>
          </a:extLst>
        </xdr:cNvPr>
        <xdr:cNvSpPr>
          <a:spLocks noChangeAspect="1" noChangeArrowheads="1"/>
        </xdr:cNvSpPr>
      </xdr:nvSpPr>
      <xdr:spPr bwMode="auto">
        <a:xfrm>
          <a:off x="14982825" y="2200275"/>
          <a:ext cx="304800" cy="288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47625</xdr:colOff>
      <xdr:row>8</xdr:row>
      <xdr:rowOff>328613</xdr:rowOff>
    </xdr:from>
    <xdr:ext cx="304800" cy="288656"/>
    <xdr:sp macro="" textlink="">
      <xdr:nvSpPr>
        <xdr:cNvPr id="80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9CEA98A1-D6C7-4BAF-BAB0-56CD4878451F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2052638"/>
          <a:ext cx="304800" cy="288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58316</xdr:colOff>
      <xdr:row>8</xdr:row>
      <xdr:rowOff>476250</xdr:rowOff>
    </xdr:from>
    <xdr:ext cx="304800" cy="302662"/>
    <xdr:sp macro="" textlink="">
      <xdr:nvSpPr>
        <xdr:cNvPr id="81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914375E8-59F7-48CB-AE94-BEC6AEAB28F4}"/>
            </a:ext>
          </a:extLst>
        </xdr:cNvPr>
        <xdr:cNvSpPr>
          <a:spLocks noChangeAspect="1" noChangeArrowheads="1"/>
        </xdr:cNvSpPr>
      </xdr:nvSpPr>
      <xdr:spPr bwMode="auto">
        <a:xfrm>
          <a:off x="15041141" y="2200275"/>
          <a:ext cx="304800" cy="302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58316</xdr:colOff>
      <xdr:row>8</xdr:row>
      <xdr:rowOff>476250</xdr:rowOff>
    </xdr:from>
    <xdr:ext cx="304800" cy="302662"/>
    <xdr:sp macro="" textlink="">
      <xdr:nvSpPr>
        <xdr:cNvPr id="82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C06601BA-DD63-4350-869C-071584DCDB80}"/>
            </a:ext>
          </a:extLst>
        </xdr:cNvPr>
        <xdr:cNvSpPr>
          <a:spLocks noChangeAspect="1" noChangeArrowheads="1"/>
        </xdr:cNvSpPr>
      </xdr:nvSpPr>
      <xdr:spPr bwMode="auto">
        <a:xfrm>
          <a:off x="15041141" y="2200275"/>
          <a:ext cx="304800" cy="302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8</xdr:row>
      <xdr:rowOff>476250</xdr:rowOff>
    </xdr:from>
    <xdr:ext cx="304800" cy="298181"/>
    <xdr:sp macro="" textlink="">
      <xdr:nvSpPr>
        <xdr:cNvPr id="83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31EAD2A4-1A9F-4BFA-94C0-757B9BF7B7B6}"/>
            </a:ext>
          </a:extLst>
        </xdr:cNvPr>
        <xdr:cNvSpPr>
          <a:spLocks noChangeAspect="1" noChangeArrowheads="1"/>
        </xdr:cNvSpPr>
      </xdr:nvSpPr>
      <xdr:spPr bwMode="auto">
        <a:xfrm>
          <a:off x="18355841" y="2200275"/>
          <a:ext cx="304800" cy="2981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8</xdr:row>
      <xdr:rowOff>476250</xdr:rowOff>
    </xdr:from>
    <xdr:ext cx="304800" cy="298181"/>
    <xdr:sp macro="" textlink="">
      <xdr:nvSpPr>
        <xdr:cNvPr id="84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C0B18A92-D703-412F-A796-074B498C831E}"/>
            </a:ext>
          </a:extLst>
        </xdr:cNvPr>
        <xdr:cNvSpPr>
          <a:spLocks noChangeAspect="1" noChangeArrowheads="1"/>
        </xdr:cNvSpPr>
      </xdr:nvSpPr>
      <xdr:spPr bwMode="auto">
        <a:xfrm>
          <a:off x="18355841" y="2200275"/>
          <a:ext cx="304800" cy="2981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8</xdr:row>
      <xdr:rowOff>476250</xdr:rowOff>
    </xdr:from>
    <xdr:ext cx="304800" cy="298181"/>
    <xdr:sp macro="" textlink="">
      <xdr:nvSpPr>
        <xdr:cNvPr id="85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A35D815A-CC73-4A21-ADC7-94D4DDC84DB4}"/>
            </a:ext>
          </a:extLst>
        </xdr:cNvPr>
        <xdr:cNvSpPr>
          <a:spLocks noChangeAspect="1" noChangeArrowheads="1"/>
        </xdr:cNvSpPr>
      </xdr:nvSpPr>
      <xdr:spPr bwMode="auto">
        <a:xfrm>
          <a:off x="18355841" y="2200275"/>
          <a:ext cx="304800" cy="2981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13</xdr:row>
      <xdr:rowOff>0</xdr:rowOff>
    </xdr:from>
    <xdr:ext cx="304800" cy="314325"/>
    <xdr:sp macro="" textlink="">
      <xdr:nvSpPr>
        <xdr:cNvPr id="86" name="Shape 3" descr="directorio ong Médicos del Mundo Francia México, A.C. - hacesfalta.org.mx">
          <a:extLst>
            <a:ext uri="{FF2B5EF4-FFF2-40B4-BE49-F238E27FC236}">
              <a16:creationId xmlns:a16="http://schemas.microsoft.com/office/drawing/2014/main" id="{59057AEB-D308-4813-97D0-1EECAF1860B3}"/>
            </a:ext>
          </a:extLst>
        </xdr:cNvPr>
        <xdr:cNvSpPr/>
      </xdr:nvSpPr>
      <xdr:spPr>
        <a:xfrm>
          <a:off x="18297525" y="32651700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</xdr:row>
      <xdr:rowOff>476250</xdr:rowOff>
    </xdr:from>
    <xdr:ext cx="304800" cy="845587"/>
    <xdr:sp macro="" textlink="">
      <xdr:nvSpPr>
        <xdr:cNvPr id="87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F2E8A11E-DF7B-49F5-88F0-3738F0B8FEBB}"/>
            </a:ext>
          </a:extLst>
        </xdr:cNvPr>
        <xdr:cNvSpPr>
          <a:spLocks noChangeAspect="1" noChangeArrowheads="1"/>
        </xdr:cNvSpPr>
      </xdr:nvSpPr>
      <xdr:spPr bwMode="auto">
        <a:xfrm>
          <a:off x="19117841" y="2200275"/>
          <a:ext cx="304800" cy="8455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8</xdr:row>
      <xdr:rowOff>476250</xdr:rowOff>
    </xdr:from>
    <xdr:ext cx="304800" cy="302662"/>
    <xdr:sp macro="" textlink="">
      <xdr:nvSpPr>
        <xdr:cNvPr id="88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D68D6DCE-F881-4310-9ACA-542F4D14CAF1}"/>
            </a:ext>
          </a:extLst>
        </xdr:cNvPr>
        <xdr:cNvSpPr>
          <a:spLocks noChangeAspect="1" noChangeArrowheads="1"/>
        </xdr:cNvSpPr>
      </xdr:nvSpPr>
      <xdr:spPr bwMode="auto">
        <a:xfrm>
          <a:off x="19117841" y="2200275"/>
          <a:ext cx="304800" cy="302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8</xdr:row>
      <xdr:rowOff>476250</xdr:rowOff>
    </xdr:from>
    <xdr:ext cx="304800" cy="302662"/>
    <xdr:sp macro="" textlink="">
      <xdr:nvSpPr>
        <xdr:cNvPr id="89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B34CBFFC-2A48-4F26-9CB6-194B60ADF8CE}"/>
            </a:ext>
          </a:extLst>
        </xdr:cNvPr>
        <xdr:cNvSpPr>
          <a:spLocks noChangeAspect="1" noChangeArrowheads="1"/>
        </xdr:cNvSpPr>
      </xdr:nvSpPr>
      <xdr:spPr bwMode="auto">
        <a:xfrm>
          <a:off x="19117841" y="2200275"/>
          <a:ext cx="304800" cy="302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8</xdr:row>
      <xdr:rowOff>476250</xdr:rowOff>
    </xdr:from>
    <xdr:ext cx="304800" cy="302662"/>
    <xdr:sp macro="" textlink="">
      <xdr:nvSpPr>
        <xdr:cNvPr id="90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2FC7BB89-0E0C-4E83-9176-E256AC2400D6}"/>
            </a:ext>
          </a:extLst>
        </xdr:cNvPr>
        <xdr:cNvSpPr>
          <a:spLocks noChangeAspect="1" noChangeArrowheads="1"/>
        </xdr:cNvSpPr>
      </xdr:nvSpPr>
      <xdr:spPr bwMode="auto">
        <a:xfrm>
          <a:off x="19117841" y="2200275"/>
          <a:ext cx="304800" cy="302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8</xdr:row>
      <xdr:rowOff>476250</xdr:rowOff>
    </xdr:from>
    <xdr:ext cx="304800" cy="288656"/>
    <xdr:sp macro="" textlink="">
      <xdr:nvSpPr>
        <xdr:cNvPr id="91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D8F20FBC-9527-46BF-AFC3-DAC989828B06}"/>
            </a:ext>
          </a:extLst>
        </xdr:cNvPr>
        <xdr:cNvSpPr>
          <a:spLocks noChangeAspect="1" noChangeArrowheads="1"/>
        </xdr:cNvSpPr>
      </xdr:nvSpPr>
      <xdr:spPr bwMode="auto">
        <a:xfrm>
          <a:off x="19059525" y="2200275"/>
          <a:ext cx="304800" cy="288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8</xdr:row>
      <xdr:rowOff>328613</xdr:rowOff>
    </xdr:from>
    <xdr:ext cx="304800" cy="288656"/>
    <xdr:sp macro="" textlink="">
      <xdr:nvSpPr>
        <xdr:cNvPr id="92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B8CBF51D-3CF5-4C61-843B-37569C2233A7}"/>
            </a:ext>
          </a:extLst>
        </xdr:cNvPr>
        <xdr:cNvSpPr>
          <a:spLocks noChangeAspect="1" noChangeArrowheads="1"/>
        </xdr:cNvSpPr>
      </xdr:nvSpPr>
      <xdr:spPr bwMode="auto">
        <a:xfrm>
          <a:off x="19107150" y="2052638"/>
          <a:ext cx="304800" cy="288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8</xdr:row>
      <xdr:rowOff>476250</xdr:rowOff>
    </xdr:from>
    <xdr:ext cx="304800" cy="302662"/>
    <xdr:sp macro="" textlink="">
      <xdr:nvSpPr>
        <xdr:cNvPr id="93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9BF1DF1B-F1E8-475A-9722-C92191829D94}"/>
            </a:ext>
          </a:extLst>
        </xdr:cNvPr>
        <xdr:cNvSpPr>
          <a:spLocks noChangeAspect="1" noChangeArrowheads="1"/>
        </xdr:cNvSpPr>
      </xdr:nvSpPr>
      <xdr:spPr bwMode="auto">
        <a:xfrm>
          <a:off x="19117841" y="2200275"/>
          <a:ext cx="304800" cy="302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8</xdr:row>
      <xdr:rowOff>476250</xdr:rowOff>
    </xdr:from>
    <xdr:ext cx="304800" cy="302662"/>
    <xdr:sp macro="" textlink="">
      <xdr:nvSpPr>
        <xdr:cNvPr id="94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C78AADE1-D6FE-4F0A-8A5A-0EAF3B5A9CD0}"/>
            </a:ext>
          </a:extLst>
        </xdr:cNvPr>
        <xdr:cNvSpPr>
          <a:spLocks noChangeAspect="1" noChangeArrowheads="1"/>
        </xdr:cNvSpPr>
      </xdr:nvSpPr>
      <xdr:spPr bwMode="auto">
        <a:xfrm>
          <a:off x="19117841" y="2200275"/>
          <a:ext cx="304800" cy="302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8</xdr:row>
      <xdr:rowOff>476250</xdr:rowOff>
    </xdr:from>
    <xdr:ext cx="304800" cy="302662"/>
    <xdr:sp macro="" textlink="">
      <xdr:nvSpPr>
        <xdr:cNvPr id="95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D76AE80C-948F-4E86-986B-140BC51C1776}"/>
            </a:ext>
          </a:extLst>
        </xdr:cNvPr>
        <xdr:cNvSpPr>
          <a:spLocks noChangeAspect="1" noChangeArrowheads="1"/>
        </xdr:cNvSpPr>
      </xdr:nvSpPr>
      <xdr:spPr bwMode="auto">
        <a:xfrm>
          <a:off x="19117841" y="2200275"/>
          <a:ext cx="304800" cy="302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8</xdr:row>
      <xdr:rowOff>476250</xdr:rowOff>
    </xdr:from>
    <xdr:ext cx="304800" cy="302662"/>
    <xdr:sp macro="" textlink="">
      <xdr:nvSpPr>
        <xdr:cNvPr id="96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18B774C3-B2BA-41AE-959B-097B1AF87F10}"/>
            </a:ext>
          </a:extLst>
        </xdr:cNvPr>
        <xdr:cNvSpPr>
          <a:spLocks noChangeAspect="1" noChangeArrowheads="1"/>
        </xdr:cNvSpPr>
      </xdr:nvSpPr>
      <xdr:spPr bwMode="auto">
        <a:xfrm>
          <a:off x="19117841" y="2200275"/>
          <a:ext cx="304800" cy="302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8</xdr:row>
      <xdr:rowOff>476250</xdr:rowOff>
    </xdr:from>
    <xdr:ext cx="304800" cy="302662"/>
    <xdr:sp macro="" textlink="">
      <xdr:nvSpPr>
        <xdr:cNvPr id="97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BD50EA53-1293-4323-A877-94339F0D6635}"/>
            </a:ext>
          </a:extLst>
        </xdr:cNvPr>
        <xdr:cNvSpPr>
          <a:spLocks noChangeAspect="1" noChangeArrowheads="1"/>
        </xdr:cNvSpPr>
      </xdr:nvSpPr>
      <xdr:spPr bwMode="auto">
        <a:xfrm>
          <a:off x="19117841" y="2200275"/>
          <a:ext cx="304800" cy="302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8</xdr:row>
      <xdr:rowOff>476250</xdr:rowOff>
    </xdr:from>
    <xdr:ext cx="304800" cy="302662"/>
    <xdr:sp macro="" textlink="">
      <xdr:nvSpPr>
        <xdr:cNvPr id="98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C856B9AB-81FC-46BD-8FE7-F5E262A8C443}"/>
            </a:ext>
          </a:extLst>
        </xdr:cNvPr>
        <xdr:cNvSpPr>
          <a:spLocks noChangeAspect="1" noChangeArrowheads="1"/>
        </xdr:cNvSpPr>
      </xdr:nvSpPr>
      <xdr:spPr bwMode="auto">
        <a:xfrm>
          <a:off x="19117841" y="2200275"/>
          <a:ext cx="304800" cy="302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8</xdr:row>
      <xdr:rowOff>476250</xdr:rowOff>
    </xdr:from>
    <xdr:ext cx="304800" cy="288656"/>
    <xdr:sp macro="" textlink="">
      <xdr:nvSpPr>
        <xdr:cNvPr id="99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6E7C0736-C0C6-4955-9358-C6ABD608C41D}"/>
            </a:ext>
          </a:extLst>
        </xdr:cNvPr>
        <xdr:cNvSpPr>
          <a:spLocks noChangeAspect="1" noChangeArrowheads="1"/>
        </xdr:cNvSpPr>
      </xdr:nvSpPr>
      <xdr:spPr bwMode="auto">
        <a:xfrm>
          <a:off x="19059525" y="2200275"/>
          <a:ext cx="304800" cy="288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8</xdr:row>
      <xdr:rowOff>328613</xdr:rowOff>
    </xdr:from>
    <xdr:ext cx="304800" cy="288656"/>
    <xdr:sp macro="" textlink="">
      <xdr:nvSpPr>
        <xdr:cNvPr id="100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AA313114-9FDD-49A8-B2CB-1A131307092A}"/>
            </a:ext>
          </a:extLst>
        </xdr:cNvPr>
        <xdr:cNvSpPr>
          <a:spLocks noChangeAspect="1" noChangeArrowheads="1"/>
        </xdr:cNvSpPr>
      </xdr:nvSpPr>
      <xdr:spPr bwMode="auto">
        <a:xfrm>
          <a:off x="19107150" y="2052638"/>
          <a:ext cx="304800" cy="288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8</xdr:row>
      <xdr:rowOff>476250</xdr:rowOff>
    </xdr:from>
    <xdr:ext cx="304800" cy="302662"/>
    <xdr:sp macro="" textlink="">
      <xdr:nvSpPr>
        <xdr:cNvPr id="101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A9F1D260-D3D8-4DCF-985E-F6E171D2AD02}"/>
            </a:ext>
          </a:extLst>
        </xdr:cNvPr>
        <xdr:cNvSpPr>
          <a:spLocks noChangeAspect="1" noChangeArrowheads="1"/>
        </xdr:cNvSpPr>
      </xdr:nvSpPr>
      <xdr:spPr bwMode="auto">
        <a:xfrm>
          <a:off x="19117841" y="2200275"/>
          <a:ext cx="304800" cy="302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8</xdr:row>
      <xdr:rowOff>476250</xdr:rowOff>
    </xdr:from>
    <xdr:ext cx="304800" cy="302662"/>
    <xdr:sp macro="" textlink="">
      <xdr:nvSpPr>
        <xdr:cNvPr id="102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FA7A6F8C-D6CE-4BE3-9FC6-806B44159070}"/>
            </a:ext>
          </a:extLst>
        </xdr:cNvPr>
        <xdr:cNvSpPr>
          <a:spLocks noChangeAspect="1" noChangeArrowheads="1"/>
        </xdr:cNvSpPr>
      </xdr:nvSpPr>
      <xdr:spPr bwMode="auto">
        <a:xfrm>
          <a:off x="19117841" y="2200275"/>
          <a:ext cx="304800" cy="302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58316</xdr:colOff>
      <xdr:row>8</xdr:row>
      <xdr:rowOff>476250</xdr:rowOff>
    </xdr:from>
    <xdr:ext cx="304800" cy="298181"/>
    <xdr:sp macro="" textlink="">
      <xdr:nvSpPr>
        <xdr:cNvPr id="103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D96984EA-F5EC-48D7-A0AF-4017792F7D0D}"/>
            </a:ext>
          </a:extLst>
        </xdr:cNvPr>
        <xdr:cNvSpPr>
          <a:spLocks noChangeAspect="1" noChangeArrowheads="1"/>
        </xdr:cNvSpPr>
      </xdr:nvSpPr>
      <xdr:spPr bwMode="auto">
        <a:xfrm>
          <a:off x="14917316" y="2202656"/>
          <a:ext cx="304800" cy="2981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58316</xdr:colOff>
      <xdr:row>8</xdr:row>
      <xdr:rowOff>476250</xdr:rowOff>
    </xdr:from>
    <xdr:ext cx="304800" cy="298181"/>
    <xdr:sp macro="" textlink="">
      <xdr:nvSpPr>
        <xdr:cNvPr id="104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99D35BC9-408A-41AC-96FD-4C807A372189}"/>
            </a:ext>
          </a:extLst>
        </xdr:cNvPr>
        <xdr:cNvSpPr>
          <a:spLocks noChangeAspect="1" noChangeArrowheads="1"/>
        </xdr:cNvSpPr>
      </xdr:nvSpPr>
      <xdr:spPr bwMode="auto">
        <a:xfrm>
          <a:off x="14917316" y="2202656"/>
          <a:ext cx="304800" cy="2981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58316</xdr:colOff>
      <xdr:row>8</xdr:row>
      <xdr:rowOff>476250</xdr:rowOff>
    </xdr:from>
    <xdr:ext cx="304800" cy="298181"/>
    <xdr:sp macro="" textlink="">
      <xdr:nvSpPr>
        <xdr:cNvPr id="105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32CE75AC-28FC-4C4D-8969-F731297A91C9}"/>
            </a:ext>
          </a:extLst>
        </xdr:cNvPr>
        <xdr:cNvSpPr>
          <a:spLocks noChangeAspect="1" noChangeArrowheads="1"/>
        </xdr:cNvSpPr>
      </xdr:nvSpPr>
      <xdr:spPr bwMode="auto">
        <a:xfrm>
          <a:off x="14917316" y="2202656"/>
          <a:ext cx="304800" cy="2981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13</xdr:row>
      <xdr:rowOff>0</xdr:rowOff>
    </xdr:from>
    <xdr:ext cx="304800" cy="314325"/>
    <xdr:sp macro="" textlink="">
      <xdr:nvSpPr>
        <xdr:cNvPr id="106" name="Shape 3" descr="directorio ong Médicos del Mundo Francia México, A.C. - hacesfalta.org.mx">
          <a:extLst>
            <a:ext uri="{FF2B5EF4-FFF2-40B4-BE49-F238E27FC236}">
              <a16:creationId xmlns:a16="http://schemas.microsoft.com/office/drawing/2014/main" id="{EDCBDF4D-D1F8-4903-8534-464DD1BE7347}"/>
            </a:ext>
          </a:extLst>
        </xdr:cNvPr>
        <xdr:cNvSpPr/>
      </xdr:nvSpPr>
      <xdr:spPr>
        <a:xfrm>
          <a:off x="14859000" y="18216563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58316</xdr:colOff>
      <xdr:row>8</xdr:row>
      <xdr:rowOff>476250</xdr:rowOff>
    </xdr:from>
    <xdr:ext cx="304800" cy="845587"/>
    <xdr:sp macro="" textlink="">
      <xdr:nvSpPr>
        <xdr:cNvPr id="107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56D299A1-5343-4721-92F4-8E6947468594}"/>
            </a:ext>
          </a:extLst>
        </xdr:cNvPr>
        <xdr:cNvSpPr>
          <a:spLocks noChangeAspect="1" noChangeArrowheads="1"/>
        </xdr:cNvSpPr>
      </xdr:nvSpPr>
      <xdr:spPr bwMode="auto">
        <a:xfrm>
          <a:off x="15679316" y="2202656"/>
          <a:ext cx="304800" cy="8455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58316</xdr:colOff>
      <xdr:row>8</xdr:row>
      <xdr:rowOff>476250</xdr:rowOff>
    </xdr:from>
    <xdr:ext cx="304800" cy="302662"/>
    <xdr:sp macro="" textlink="">
      <xdr:nvSpPr>
        <xdr:cNvPr id="108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8BB5ACD7-765A-4DC3-A320-96F02F3E1807}"/>
            </a:ext>
          </a:extLst>
        </xdr:cNvPr>
        <xdr:cNvSpPr>
          <a:spLocks noChangeAspect="1" noChangeArrowheads="1"/>
        </xdr:cNvSpPr>
      </xdr:nvSpPr>
      <xdr:spPr bwMode="auto">
        <a:xfrm>
          <a:off x="15679316" y="2202656"/>
          <a:ext cx="304800" cy="302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58316</xdr:colOff>
      <xdr:row>8</xdr:row>
      <xdr:rowOff>476250</xdr:rowOff>
    </xdr:from>
    <xdr:ext cx="304800" cy="302662"/>
    <xdr:sp macro="" textlink="">
      <xdr:nvSpPr>
        <xdr:cNvPr id="109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44289AD9-02A4-4166-B7B0-020CF72213EC}"/>
            </a:ext>
          </a:extLst>
        </xdr:cNvPr>
        <xdr:cNvSpPr>
          <a:spLocks noChangeAspect="1" noChangeArrowheads="1"/>
        </xdr:cNvSpPr>
      </xdr:nvSpPr>
      <xdr:spPr bwMode="auto">
        <a:xfrm>
          <a:off x="15679316" y="2202656"/>
          <a:ext cx="304800" cy="302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58316</xdr:colOff>
      <xdr:row>8</xdr:row>
      <xdr:rowOff>476250</xdr:rowOff>
    </xdr:from>
    <xdr:ext cx="304800" cy="302662"/>
    <xdr:sp macro="" textlink="">
      <xdr:nvSpPr>
        <xdr:cNvPr id="110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6A88A36D-6F0A-4CEC-A391-D62CB0703B3E}"/>
            </a:ext>
          </a:extLst>
        </xdr:cNvPr>
        <xdr:cNvSpPr>
          <a:spLocks noChangeAspect="1" noChangeArrowheads="1"/>
        </xdr:cNvSpPr>
      </xdr:nvSpPr>
      <xdr:spPr bwMode="auto">
        <a:xfrm>
          <a:off x="15679316" y="2202656"/>
          <a:ext cx="304800" cy="302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8</xdr:row>
      <xdr:rowOff>476250</xdr:rowOff>
    </xdr:from>
    <xdr:ext cx="304800" cy="288656"/>
    <xdr:sp macro="" textlink="">
      <xdr:nvSpPr>
        <xdr:cNvPr id="111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97AD1161-FAE7-4217-AA49-B0CBDAE8EF1B}"/>
            </a:ext>
          </a:extLst>
        </xdr:cNvPr>
        <xdr:cNvSpPr>
          <a:spLocks noChangeAspect="1" noChangeArrowheads="1"/>
        </xdr:cNvSpPr>
      </xdr:nvSpPr>
      <xdr:spPr bwMode="auto">
        <a:xfrm>
          <a:off x="15621000" y="2202656"/>
          <a:ext cx="304800" cy="288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47625</xdr:colOff>
      <xdr:row>8</xdr:row>
      <xdr:rowOff>328613</xdr:rowOff>
    </xdr:from>
    <xdr:ext cx="304800" cy="288656"/>
    <xdr:sp macro="" textlink="">
      <xdr:nvSpPr>
        <xdr:cNvPr id="112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8B6038F0-9C8E-4861-B180-159ED2522954}"/>
            </a:ext>
          </a:extLst>
        </xdr:cNvPr>
        <xdr:cNvSpPr>
          <a:spLocks noChangeAspect="1" noChangeArrowheads="1"/>
        </xdr:cNvSpPr>
      </xdr:nvSpPr>
      <xdr:spPr bwMode="auto">
        <a:xfrm>
          <a:off x="15668625" y="2055019"/>
          <a:ext cx="304800" cy="288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58316</xdr:colOff>
      <xdr:row>8</xdr:row>
      <xdr:rowOff>476250</xdr:rowOff>
    </xdr:from>
    <xdr:ext cx="304800" cy="302662"/>
    <xdr:sp macro="" textlink="">
      <xdr:nvSpPr>
        <xdr:cNvPr id="113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EE8B5E7B-48C3-4792-9AF4-5CD8E029AE8E}"/>
            </a:ext>
          </a:extLst>
        </xdr:cNvPr>
        <xdr:cNvSpPr>
          <a:spLocks noChangeAspect="1" noChangeArrowheads="1"/>
        </xdr:cNvSpPr>
      </xdr:nvSpPr>
      <xdr:spPr bwMode="auto">
        <a:xfrm>
          <a:off x="15679316" y="2202656"/>
          <a:ext cx="304800" cy="302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58316</xdr:colOff>
      <xdr:row>8</xdr:row>
      <xdr:rowOff>476250</xdr:rowOff>
    </xdr:from>
    <xdr:ext cx="304800" cy="302662"/>
    <xdr:sp macro="" textlink="">
      <xdr:nvSpPr>
        <xdr:cNvPr id="114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7E2ED506-E669-4B26-952D-E6215610C8F9}"/>
            </a:ext>
          </a:extLst>
        </xdr:cNvPr>
        <xdr:cNvSpPr>
          <a:spLocks noChangeAspect="1" noChangeArrowheads="1"/>
        </xdr:cNvSpPr>
      </xdr:nvSpPr>
      <xdr:spPr bwMode="auto">
        <a:xfrm>
          <a:off x="15679316" y="2202656"/>
          <a:ext cx="304800" cy="302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58316</xdr:colOff>
      <xdr:row>8</xdr:row>
      <xdr:rowOff>476250</xdr:rowOff>
    </xdr:from>
    <xdr:ext cx="304800" cy="302662"/>
    <xdr:sp macro="" textlink="">
      <xdr:nvSpPr>
        <xdr:cNvPr id="115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D0EDE675-9185-4CC9-AAC6-82DF0D9643D2}"/>
            </a:ext>
          </a:extLst>
        </xdr:cNvPr>
        <xdr:cNvSpPr>
          <a:spLocks noChangeAspect="1" noChangeArrowheads="1"/>
        </xdr:cNvSpPr>
      </xdr:nvSpPr>
      <xdr:spPr bwMode="auto">
        <a:xfrm>
          <a:off x="15679316" y="2202656"/>
          <a:ext cx="304800" cy="302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58316</xdr:colOff>
      <xdr:row>8</xdr:row>
      <xdr:rowOff>476250</xdr:rowOff>
    </xdr:from>
    <xdr:ext cx="304800" cy="302662"/>
    <xdr:sp macro="" textlink="">
      <xdr:nvSpPr>
        <xdr:cNvPr id="116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35791DE4-20DC-419B-B5AA-FAAA164D9C66}"/>
            </a:ext>
          </a:extLst>
        </xdr:cNvPr>
        <xdr:cNvSpPr>
          <a:spLocks noChangeAspect="1" noChangeArrowheads="1"/>
        </xdr:cNvSpPr>
      </xdr:nvSpPr>
      <xdr:spPr bwMode="auto">
        <a:xfrm>
          <a:off x="15679316" y="2202656"/>
          <a:ext cx="304800" cy="302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58316</xdr:colOff>
      <xdr:row>8</xdr:row>
      <xdr:rowOff>476250</xdr:rowOff>
    </xdr:from>
    <xdr:ext cx="304800" cy="302662"/>
    <xdr:sp macro="" textlink="">
      <xdr:nvSpPr>
        <xdr:cNvPr id="117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80494CA6-CA90-4964-80EA-A488BEE6FD9E}"/>
            </a:ext>
          </a:extLst>
        </xdr:cNvPr>
        <xdr:cNvSpPr>
          <a:spLocks noChangeAspect="1" noChangeArrowheads="1"/>
        </xdr:cNvSpPr>
      </xdr:nvSpPr>
      <xdr:spPr bwMode="auto">
        <a:xfrm>
          <a:off x="15679316" y="2202656"/>
          <a:ext cx="304800" cy="302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58316</xdr:colOff>
      <xdr:row>8</xdr:row>
      <xdr:rowOff>476250</xdr:rowOff>
    </xdr:from>
    <xdr:ext cx="304800" cy="302662"/>
    <xdr:sp macro="" textlink="">
      <xdr:nvSpPr>
        <xdr:cNvPr id="118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01DB193F-212D-4500-A6A7-7319F1D73EEC}"/>
            </a:ext>
          </a:extLst>
        </xdr:cNvPr>
        <xdr:cNvSpPr>
          <a:spLocks noChangeAspect="1" noChangeArrowheads="1"/>
        </xdr:cNvSpPr>
      </xdr:nvSpPr>
      <xdr:spPr bwMode="auto">
        <a:xfrm>
          <a:off x="15679316" y="2202656"/>
          <a:ext cx="304800" cy="302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8</xdr:row>
      <xdr:rowOff>476250</xdr:rowOff>
    </xdr:from>
    <xdr:ext cx="304800" cy="288656"/>
    <xdr:sp macro="" textlink="">
      <xdr:nvSpPr>
        <xdr:cNvPr id="119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BCB79B27-2D49-4201-8AF7-B8F8C9DCEB9A}"/>
            </a:ext>
          </a:extLst>
        </xdr:cNvPr>
        <xdr:cNvSpPr>
          <a:spLocks noChangeAspect="1" noChangeArrowheads="1"/>
        </xdr:cNvSpPr>
      </xdr:nvSpPr>
      <xdr:spPr bwMode="auto">
        <a:xfrm>
          <a:off x="15621000" y="2202656"/>
          <a:ext cx="304800" cy="288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47625</xdr:colOff>
      <xdr:row>8</xdr:row>
      <xdr:rowOff>328613</xdr:rowOff>
    </xdr:from>
    <xdr:ext cx="304800" cy="288656"/>
    <xdr:sp macro="" textlink="">
      <xdr:nvSpPr>
        <xdr:cNvPr id="120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8C20B6CF-CBE9-4F45-8B2D-C2B77C4F110C}"/>
            </a:ext>
          </a:extLst>
        </xdr:cNvPr>
        <xdr:cNvSpPr>
          <a:spLocks noChangeAspect="1" noChangeArrowheads="1"/>
        </xdr:cNvSpPr>
      </xdr:nvSpPr>
      <xdr:spPr bwMode="auto">
        <a:xfrm>
          <a:off x="15668625" y="2055019"/>
          <a:ext cx="304800" cy="288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58316</xdr:colOff>
      <xdr:row>8</xdr:row>
      <xdr:rowOff>476250</xdr:rowOff>
    </xdr:from>
    <xdr:ext cx="304800" cy="302662"/>
    <xdr:sp macro="" textlink="">
      <xdr:nvSpPr>
        <xdr:cNvPr id="121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E359AF13-0EFB-49C6-97D4-013746B5D0B3}"/>
            </a:ext>
          </a:extLst>
        </xdr:cNvPr>
        <xdr:cNvSpPr>
          <a:spLocks noChangeAspect="1" noChangeArrowheads="1"/>
        </xdr:cNvSpPr>
      </xdr:nvSpPr>
      <xdr:spPr bwMode="auto">
        <a:xfrm>
          <a:off x="15679316" y="2202656"/>
          <a:ext cx="304800" cy="302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58316</xdr:colOff>
      <xdr:row>8</xdr:row>
      <xdr:rowOff>476250</xdr:rowOff>
    </xdr:from>
    <xdr:ext cx="304800" cy="302662"/>
    <xdr:sp macro="" textlink="">
      <xdr:nvSpPr>
        <xdr:cNvPr id="122" name="AutoShape 1" descr="directorio ong Médicos del Mundo Francia México, A.C. - hacesfalta.org.mx">
          <a:extLst>
            <a:ext uri="{FF2B5EF4-FFF2-40B4-BE49-F238E27FC236}">
              <a16:creationId xmlns:a16="http://schemas.microsoft.com/office/drawing/2014/main" id="{060530CD-3CE9-4FC4-902D-F69EBF587B63}"/>
            </a:ext>
          </a:extLst>
        </xdr:cNvPr>
        <xdr:cNvSpPr>
          <a:spLocks noChangeAspect="1" noChangeArrowheads="1"/>
        </xdr:cNvSpPr>
      </xdr:nvSpPr>
      <xdr:spPr bwMode="auto">
        <a:xfrm>
          <a:off x="15679316" y="2202656"/>
          <a:ext cx="304800" cy="302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9</xdr:col>
      <xdr:colOff>439168</xdr:colOff>
      <xdr:row>41</xdr:row>
      <xdr:rowOff>143958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D712114-02B5-6F07-3C5E-78290A3F0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7297168" cy="7763958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19</xdr:col>
      <xdr:colOff>553484</xdr:colOff>
      <xdr:row>42</xdr:row>
      <xdr:rowOff>77274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89EB03F-CE5E-4159-4ED2-453BFCC8B0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0000" y="381000"/>
          <a:ext cx="7411484" cy="769727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9</xdr:col>
      <xdr:colOff>342900</xdr:colOff>
      <xdr:row>41</xdr:row>
      <xdr:rowOff>67748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C8F6B27-3557-75C7-297E-A2DC1DD67B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7200900" cy="7687748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16</xdr:col>
      <xdr:colOff>667481</xdr:colOff>
      <xdr:row>32</xdr:row>
      <xdr:rowOff>143666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DDA0737-99D1-8FC1-FA33-2A60298C52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0000" y="571500"/>
          <a:ext cx="5239481" cy="566816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9</xdr:col>
      <xdr:colOff>429642</xdr:colOff>
      <xdr:row>34</xdr:row>
      <xdr:rowOff>58009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C053D44-E8BA-7FE4-A5A2-595AC599E4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0"/>
          <a:ext cx="7287642" cy="61540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4149C-7F8A-40E8-9F6A-5938E8E0DA0B}">
  <sheetPr>
    <pageSetUpPr fitToPage="1"/>
  </sheetPr>
  <dimension ref="A3:R48"/>
  <sheetViews>
    <sheetView tabSelected="1" zoomScale="55" zoomScaleNormal="55" workbookViewId="0">
      <pane xSplit="6" ySplit="9" topLeftCell="G10" activePane="bottomRight" state="frozen"/>
      <selection pane="topRight" activeCell="G1" sqref="G1"/>
      <selection pane="bottomLeft" activeCell="A10" sqref="A10"/>
      <selection pane="bottomRight" activeCell="X16" sqref="X16"/>
    </sheetView>
  </sheetViews>
  <sheetFormatPr baseColWidth="10" defaultRowHeight="15" x14ac:dyDescent="0.2"/>
  <cols>
    <col min="2" max="2" width="44" customWidth="1"/>
    <col min="3" max="3" width="19.5" customWidth="1"/>
    <col min="4" max="4" width="19.83203125" customWidth="1"/>
    <col min="5" max="5" width="29" customWidth="1"/>
    <col min="6" max="6" width="22.6640625" customWidth="1"/>
    <col min="7" max="8" width="11.5" customWidth="1"/>
    <col min="9" max="9" width="18.1640625" customWidth="1"/>
    <col min="10" max="10" width="25.5" customWidth="1"/>
    <col min="11" max="12" width="11.5" customWidth="1"/>
    <col min="13" max="13" width="18.1640625" customWidth="1"/>
    <col min="14" max="14" width="20" customWidth="1"/>
    <col min="16" max="16" width="11.5" bestFit="1" customWidth="1"/>
    <col min="17" max="17" width="18.1640625" bestFit="1" customWidth="1"/>
    <col min="18" max="18" width="20.6640625" customWidth="1"/>
  </cols>
  <sheetData>
    <row r="3" spans="1:18" x14ac:dyDescent="0.2">
      <c r="D3" s="131" t="s">
        <v>108</v>
      </c>
    </row>
    <row r="4" spans="1:18" x14ac:dyDescent="0.2">
      <c r="D4" s="131"/>
    </row>
    <row r="6" spans="1:18" ht="15" customHeight="1" x14ac:dyDescent="0.2">
      <c r="B6" s="1" t="s">
        <v>16</v>
      </c>
      <c r="D6" s="130"/>
      <c r="E6" s="130"/>
      <c r="F6" s="130"/>
      <c r="G6" s="130"/>
      <c r="H6" s="130"/>
    </row>
    <row r="7" spans="1:18" ht="16" thickBot="1" x14ac:dyDescent="0.25"/>
    <row r="8" spans="1:18" ht="30" customHeight="1" thickBot="1" x14ac:dyDescent="0.25">
      <c r="A8" s="135" t="s">
        <v>0</v>
      </c>
      <c r="B8" s="132" t="s">
        <v>1</v>
      </c>
      <c r="C8" s="133"/>
      <c r="D8" s="134"/>
      <c r="E8" s="137" t="s">
        <v>4</v>
      </c>
      <c r="F8" s="138"/>
      <c r="G8" s="121" t="s">
        <v>103</v>
      </c>
      <c r="H8" s="122"/>
      <c r="I8" s="122"/>
      <c r="J8" s="123"/>
      <c r="K8" s="121" t="s">
        <v>105</v>
      </c>
      <c r="L8" s="122"/>
      <c r="M8" s="122"/>
      <c r="N8" s="123"/>
      <c r="O8" s="121" t="s">
        <v>107</v>
      </c>
      <c r="P8" s="122"/>
      <c r="Q8" s="122"/>
      <c r="R8" s="123"/>
    </row>
    <row r="9" spans="1:18" ht="50.25" customHeight="1" thickBot="1" x14ac:dyDescent="0.25">
      <c r="A9" s="136"/>
      <c r="B9" s="65" t="s">
        <v>2</v>
      </c>
      <c r="C9" s="66" t="s">
        <v>3</v>
      </c>
      <c r="D9" s="67" t="s">
        <v>15</v>
      </c>
      <c r="E9" s="68" t="s">
        <v>5</v>
      </c>
      <c r="F9" s="69" t="s">
        <v>6</v>
      </c>
      <c r="G9" s="70" t="s">
        <v>7</v>
      </c>
      <c r="H9" s="71" t="s">
        <v>8</v>
      </c>
      <c r="I9" s="71" t="s">
        <v>9</v>
      </c>
      <c r="J9" s="67" t="s">
        <v>10</v>
      </c>
      <c r="K9" s="70" t="s">
        <v>7</v>
      </c>
      <c r="L9" s="71" t="s">
        <v>8</v>
      </c>
      <c r="M9" s="71" t="s">
        <v>9</v>
      </c>
      <c r="N9" s="67" t="s">
        <v>10</v>
      </c>
      <c r="O9" s="70" t="s">
        <v>7</v>
      </c>
      <c r="P9" s="71" t="s">
        <v>8</v>
      </c>
      <c r="Q9" s="71" t="s">
        <v>9</v>
      </c>
      <c r="R9" s="67" t="s">
        <v>10</v>
      </c>
    </row>
    <row r="10" spans="1:18" ht="68.25" customHeight="1" x14ac:dyDescent="0.2">
      <c r="A10" s="64" t="s">
        <v>101</v>
      </c>
      <c r="B10" s="72" t="s">
        <v>52</v>
      </c>
      <c r="C10" s="73" t="s">
        <v>85</v>
      </c>
      <c r="D10" s="74">
        <v>5</v>
      </c>
      <c r="E10" s="62"/>
      <c r="F10" s="63"/>
      <c r="G10" s="73" t="s">
        <v>85</v>
      </c>
      <c r="H10" s="74">
        <v>5</v>
      </c>
      <c r="I10" s="75"/>
      <c r="J10" s="43">
        <f t="shared" ref="J10:J44" si="0">I10*H10</f>
        <v>0</v>
      </c>
      <c r="K10" s="73" t="s">
        <v>85</v>
      </c>
      <c r="L10" s="74">
        <v>5</v>
      </c>
      <c r="M10" s="42"/>
      <c r="N10" s="43">
        <f t="shared" ref="N10:N44" si="1">M10*L10</f>
        <v>0</v>
      </c>
      <c r="O10" s="73" t="s">
        <v>85</v>
      </c>
      <c r="P10" s="76">
        <v>5</v>
      </c>
      <c r="Q10" s="77">
        <v>41905</v>
      </c>
      <c r="R10" s="78">
        <f t="shared" ref="R10:R44" si="2">Q10*P10</f>
        <v>209525</v>
      </c>
    </row>
    <row r="11" spans="1:18" ht="68.25" customHeight="1" x14ac:dyDescent="0.2">
      <c r="A11" s="64" t="s">
        <v>101</v>
      </c>
      <c r="B11" s="72" t="s">
        <v>53</v>
      </c>
      <c r="C11" s="73" t="s">
        <v>86</v>
      </c>
      <c r="D11" s="74">
        <v>7</v>
      </c>
      <c r="E11" s="61"/>
      <c r="F11" s="61"/>
      <c r="G11" s="73" t="s">
        <v>86</v>
      </c>
      <c r="H11" s="74">
        <v>7</v>
      </c>
      <c r="I11" s="75">
        <v>26500</v>
      </c>
      <c r="J11" s="43">
        <f t="shared" si="0"/>
        <v>185500</v>
      </c>
      <c r="K11" s="73" t="s">
        <v>86</v>
      </c>
      <c r="L11" s="74">
        <v>7</v>
      </c>
      <c r="M11" s="42"/>
      <c r="N11" s="43">
        <f t="shared" si="1"/>
        <v>0</v>
      </c>
      <c r="O11" s="73" t="s">
        <v>86</v>
      </c>
      <c r="P11" s="76">
        <v>7</v>
      </c>
      <c r="Q11" s="77">
        <v>25500</v>
      </c>
      <c r="R11" s="78">
        <f t="shared" si="2"/>
        <v>178500</v>
      </c>
    </row>
    <row r="12" spans="1:18" ht="68.25" customHeight="1" x14ac:dyDescent="0.2">
      <c r="A12" s="64" t="s">
        <v>101</v>
      </c>
      <c r="B12" s="72" t="s">
        <v>54</v>
      </c>
      <c r="C12" s="73" t="s">
        <v>87</v>
      </c>
      <c r="D12" s="74">
        <v>5</v>
      </c>
      <c r="E12" s="61"/>
      <c r="F12" s="61"/>
      <c r="G12" s="73" t="s">
        <v>87</v>
      </c>
      <c r="H12" s="74">
        <v>5</v>
      </c>
      <c r="I12" s="75"/>
      <c r="J12" s="43">
        <f t="shared" si="0"/>
        <v>0</v>
      </c>
      <c r="K12" s="73" t="s">
        <v>87</v>
      </c>
      <c r="L12" s="74">
        <v>5</v>
      </c>
      <c r="M12" s="42"/>
      <c r="N12" s="43">
        <f t="shared" si="1"/>
        <v>0</v>
      </c>
      <c r="O12" s="73" t="s">
        <v>87</v>
      </c>
      <c r="P12" s="76">
        <v>5</v>
      </c>
      <c r="Q12" s="77">
        <v>239198.5</v>
      </c>
      <c r="R12" s="78">
        <f t="shared" si="2"/>
        <v>1195992.5</v>
      </c>
    </row>
    <row r="13" spans="1:18" ht="68.25" customHeight="1" x14ac:dyDescent="0.2">
      <c r="A13" s="64" t="s">
        <v>101</v>
      </c>
      <c r="B13" s="72" t="s">
        <v>55</v>
      </c>
      <c r="C13" s="73" t="s">
        <v>87</v>
      </c>
      <c r="D13" s="74">
        <v>6</v>
      </c>
      <c r="E13" s="61"/>
      <c r="F13" s="61"/>
      <c r="G13" s="73" t="s">
        <v>87</v>
      </c>
      <c r="H13" s="74">
        <v>6</v>
      </c>
      <c r="I13" s="75"/>
      <c r="J13" s="43">
        <f t="shared" si="0"/>
        <v>0</v>
      </c>
      <c r="K13" s="73" t="s">
        <v>87</v>
      </c>
      <c r="L13" s="74">
        <v>6</v>
      </c>
      <c r="M13" s="42"/>
      <c r="N13" s="43">
        <f t="shared" si="1"/>
        <v>0</v>
      </c>
      <c r="O13" s="73" t="s">
        <v>87</v>
      </c>
      <c r="P13" s="76">
        <v>6</v>
      </c>
      <c r="Q13" s="77">
        <v>108647</v>
      </c>
      <c r="R13" s="78">
        <f t="shared" si="2"/>
        <v>651882</v>
      </c>
    </row>
    <row r="14" spans="1:18" ht="68.25" customHeight="1" x14ac:dyDescent="0.2">
      <c r="A14" s="64" t="s">
        <v>101</v>
      </c>
      <c r="B14" s="72" t="s">
        <v>56</v>
      </c>
      <c r="C14" s="73" t="s">
        <v>88</v>
      </c>
      <c r="D14" s="74">
        <v>4</v>
      </c>
      <c r="E14" s="61"/>
      <c r="F14" s="61"/>
      <c r="G14" s="73" t="s">
        <v>88</v>
      </c>
      <c r="H14" s="74">
        <v>4</v>
      </c>
      <c r="I14" s="75"/>
      <c r="J14" s="43">
        <f t="shared" si="0"/>
        <v>0</v>
      </c>
      <c r="K14" s="73" t="s">
        <v>88</v>
      </c>
      <c r="L14" s="74">
        <v>4</v>
      </c>
      <c r="M14" s="42"/>
      <c r="N14" s="43">
        <f t="shared" si="1"/>
        <v>0</v>
      </c>
      <c r="O14" s="73" t="s">
        <v>88</v>
      </c>
      <c r="P14" s="76">
        <v>4</v>
      </c>
      <c r="Q14" s="77">
        <v>109990</v>
      </c>
      <c r="R14" s="78">
        <f t="shared" si="2"/>
        <v>439960</v>
      </c>
    </row>
    <row r="15" spans="1:18" ht="68.25" customHeight="1" x14ac:dyDescent="0.2">
      <c r="A15" s="64" t="s">
        <v>101</v>
      </c>
      <c r="B15" s="72" t="s">
        <v>57</v>
      </c>
      <c r="C15" s="73" t="s">
        <v>89</v>
      </c>
      <c r="D15" s="74">
        <v>2</v>
      </c>
      <c r="E15" s="80" t="s">
        <v>112</v>
      </c>
      <c r="F15" s="61"/>
      <c r="G15" s="73" t="s">
        <v>89</v>
      </c>
      <c r="H15" s="76">
        <v>2</v>
      </c>
      <c r="I15" s="79">
        <v>236000</v>
      </c>
      <c r="J15" s="78">
        <f t="shared" si="0"/>
        <v>472000</v>
      </c>
      <c r="K15" s="73" t="s">
        <v>89</v>
      </c>
      <c r="L15" s="74">
        <v>2</v>
      </c>
      <c r="M15" s="42"/>
      <c r="N15" s="43">
        <f t="shared" si="1"/>
        <v>0</v>
      </c>
      <c r="O15" s="73" t="s">
        <v>89</v>
      </c>
      <c r="P15" s="74">
        <v>2</v>
      </c>
      <c r="Q15" s="42"/>
      <c r="R15" s="43">
        <f t="shared" si="2"/>
        <v>0</v>
      </c>
    </row>
    <row r="16" spans="1:18" ht="84.75" customHeight="1" x14ac:dyDescent="0.2">
      <c r="A16" s="64" t="s">
        <v>101</v>
      </c>
      <c r="B16" s="72" t="s">
        <v>58</v>
      </c>
      <c r="C16" s="73" t="s">
        <v>90</v>
      </c>
      <c r="D16" s="74">
        <v>6</v>
      </c>
      <c r="E16" s="80" t="s">
        <v>113</v>
      </c>
      <c r="F16" s="61"/>
      <c r="G16" s="73" t="s">
        <v>90</v>
      </c>
      <c r="H16" s="74">
        <v>6</v>
      </c>
      <c r="I16" s="75"/>
      <c r="J16" s="43">
        <f t="shared" si="0"/>
        <v>0</v>
      </c>
      <c r="K16" s="73" t="s">
        <v>90</v>
      </c>
      <c r="L16" s="74">
        <v>6</v>
      </c>
      <c r="M16" s="42">
        <v>14750</v>
      </c>
      <c r="N16" s="43">
        <f t="shared" si="1"/>
        <v>88500</v>
      </c>
      <c r="O16" s="73" t="s">
        <v>90</v>
      </c>
      <c r="P16" s="74">
        <v>6</v>
      </c>
      <c r="Q16" s="42"/>
      <c r="R16" s="43">
        <f t="shared" si="2"/>
        <v>0</v>
      </c>
    </row>
    <row r="17" spans="1:18" ht="68.25" customHeight="1" x14ac:dyDescent="0.2">
      <c r="A17" s="64" t="s">
        <v>101</v>
      </c>
      <c r="B17" s="72" t="s">
        <v>59</v>
      </c>
      <c r="C17" s="73" t="s">
        <v>87</v>
      </c>
      <c r="D17" s="74">
        <v>5</v>
      </c>
      <c r="E17" s="61"/>
      <c r="F17" s="61"/>
      <c r="G17" s="73" t="s">
        <v>87</v>
      </c>
      <c r="H17" s="74">
        <v>5</v>
      </c>
      <c r="I17" s="75"/>
      <c r="J17" s="43">
        <f t="shared" si="0"/>
        <v>0</v>
      </c>
      <c r="K17" s="73" t="s">
        <v>87</v>
      </c>
      <c r="L17" s="74">
        <v>5</v>
      </c>
      <c r="M17" s="42"/>
      <c r="N17" s="43">
        <f t="shared" si="1"/>
        <v>0</v>
      </c>
      <c r="O17" s="73" t="s">
        <v>109</v>
      </c>
      <c r="P17" s="76">
        <v>5</v>
      </c>
      <c r="Q17" s="77">
        <v>142020</v>
      </c>
      <c r="R17" s="78">
        <f t="shared" si="2"/>
        <v>710100</v>
      </c>
    </row>
    <row r="18" spans="1:18" ht="68.25" customHeight="1" x14ac:dyDescent="0.2">
      <c r="A18" s="64" t="s">
        <v>101</v>
      </c>
      <c r="B18" s="72" t="s">
        <v>60</v>
      </c>
      <c r="C18" s="73" t="s">
        <v>91</v>
      </c>
      <c r="D18" s="74">
        <v>4</v>
      </c>
      <c r="E18" s="61"/>
      <c r="F18" s="61"/>
      <c r="G18" s="73" t="s">
        <v>91</v>
      </c>
      <c r="H18" s="74">
        <v>4</v>
      </c>
      <c r="I18" s="75"/>
      <c r="J18" s="43">
        <f t="shared" si="0"/>
        <v>0</v>
      </c>
      <c r="K18" s="73" t="s">
        <v>50</v>
      </c>
      <c r="L18" s="74">
        <v>200</v>
      </c>
      <c r="M18" s="42">
        <v>281</v>
      </c>
      <c r="N18" s="43">
        <f t="shared" si="1"/>
        <v>56200</v>
      </c>
      <c r="O18" s="73" t="s">
        <v>91</v>
      </c>
      <c r="P18" s="76">
        <v>4</v>
      </c>
      <c r="Q18" s="77">
        <v>13892</v>
      </c>
      <c r="R18" s="78">
        <f t="shared" si="2"/>
        <v>55568</v>
      </c>
    </row>
    <row r="19" spans="1:18" ht="68.25" customHeight="1" x14ac:dyDescent="0.2">
      <c r="A19" s="64" t="s">
        <v>101</v>
      </c>
      <c r="B19" s="72" t="s">
        <v>61</v>
      </c>
      <c r="C19" s="73" t="s">
        <v>92</v>
      </c>
      <c r="D19" s="74">
        <v>1</v>
      </c>
      <c r="E19" s="61"/>
      <c r="F19" s="61"/>
      <c r="G19" s="73" t="s">
        <v>102</v>
      </c>
      <c r="H19" s="76">
        <v>1</v>
      </c>
      <c r="I19" s="79">
        <v>75000</v>
      </c>
      <c r="J19" s="78">
        <f t="shared" si="0"/>
        <v>75000</v>
      </c>
      <c r="K19" s="73" t="s">
        <v>92</v>
      </c>
      <c r="L19" s="74">
        <v>1</v>
      </c>
      <c r="M19" s="42"/>
      <c r="N19" s="43">
        <f t="shared" si="1"/>
        <v>0</v>
      </c>
      <c r="O19" s="73" t="s">
        <v>92</v>
      </c>
      <c r="P19" s="74">
        <v>1</v>
      </c>
      <c r="Q19" s="42">
        <v>44127</v>
      </c>
      <c r="R19" s="43">
        <f t="shared" si="2"/>
        <v>44127</v>
      </c>
    </row>
    <row r="20" spans="1:18" ht="68.25" customHeight="1" x14ac:dyDescent="0.2">
      <c r="A20" s="64" t="s">
        <v>101</v>
      </c>
      <c r="B20" s="72" t="s">
        <v>62</v>
      </c>
      <c r="C20" s="73" t="s">
        <v>86</v>
      </c>
      <c r="D20" s="74">
        <v>2</v>
      </c>
      <c r="E20" s="81" t="s">
        <v>114</v>
      </c>
      <c r="F20" s="61"/>
      <c r="G20" s="73" t="s">
        <v>86</v>
      </c>
      <c r="H20" s="76">
        <v>2</v>
      </c>
      <c r="I20" s="79">
        <v>342000</v>
      </c>
      <c r="J20" s="78">
        <f t="shared" si="0"/>
        <v>684000</v>
      </c>
      <c r="K20" s="73" t="s">
        <v>86</v>
      </c>
      <c r="L20" s="74">
        <v>2</v>
      </c>
      <c r="M20" s="42"/>
      <c r="N20" s="43">
        <f t="shared" si="1"/>
        <v>0</v>
      </c>
      <c r="O20" s="73" t="s">
        <v>86</v>
      </c>
      <c r="P20" s="74">
        <v>2</v>
      </c>
      <c r="Q20" s="42"/>
      <c r="R20" s="43">
        <f t="shared" si="2"/>
        <v>0</v>
      </c>
    </row>
    <row r="21" spans="1:18" ht="68.25" customHeight="1" x14ac:dyDescent="0.2">
      <c r="A21" s="64" t="s">
        <v>101</v>
      </c>
      <c r="B21" s="72" t="s">
        <v>63</v>
      </c>
      <c r="C21" s="73" t="s">
        <v>86</v>
      </c>
      <c r="D21" s="74">
        <v>1</v>
      </c>
      <c r="E21" s="81" t="s">
        <v>114</v>
      </c>
      <c r="F21" s="61"/>
      <c r="G21" s="73" t="s">
        <v>86</v>
      </c>
      <c r="H21" s="76">
        <v>1</v>
      </c>
      <c r="I21" s="79">
        <v>308000</v>
      </c>
      <c r="J21" s="78">
        <f t="shared" si="0"/>
        <v>308000</v>
      </c>
      <c r="K21" s="73" t="s">
        <v>86</v>
      </c>
      <c r="L21" s="74">
        <v>1</v>
      </c>
      <c r="M21" s="42"/>
      <c r="N21" s="43">
        <f t="shared" si="1"/>
        <v>0</v>
      </c>
      <c r="O21" s="73" t="s">
        <v>86</v>
      </c>
      <c r="P21" s="74">
        <v>1</v>
      </c>
      <c r="Q21" s="42"/>
      <c r="R21" s="43">
        <f t="shared" si="2"/>
        <v>0</v>
      </c>
    </row>
    <row r="22" spans="1:18" ht="68.25" customHeight="1" x14ac:dyDescent="0.2">
      <c r="A22" s="64" t="s">
        <v>101</v>
      </c>
      <c r="B22" s="72" t="s">
        <v>64</v>
      </c>
      <c r="C22" s="73" t="s">
        <v>86</v>
      </c>
      <c r="D22" s="74">
        <v>1</v>
      </c>
      <c r="E22" s="81" t="s">
        <v>114</v>
      </c>
      <c r="F22" s="61"/>
      <c r="G22" s="73" t="s">
        <v>86</v>
      </c>
      <c r="H22" s="76">
        <v>1</v>
      </c>
      <c r="I22" s="79">
        <v>368000</v>
      </c>
      <c r="J22" s="78">
        <f t="shared" si="0"/>
        <v>368000</v>
      </c>
      <c r="K22" s="73" t="s">
        <v>86</v>
      </c>
      <c r="L22" s="74">
        <v>1</v>
      </c>
      <c r="M22" s="42"/>
      <c r="N22" s="43">
        <f t="shared" si="1"/>
        <v>0</v>
      </c>
      <c r="O22" s="73" t="s">
        <v>86</v>
      </c>
      <c r="P22" s="74">
        <v>1</v>
      </c>
      <c r="Q22" s="42"/>
      <c r="R22" s="43">
        <f t="shared" si="2"/>
        <v>0</v>
      </c>
    </row>
    <row r="23" spans="1:18" ht="68.25" customHeight="1" x14ac:dyDescent="0.2">
      <c r="A23" s="64" t="s">
        <v>101</v>
      </c>
      <c r="B23" s="72" t="s">
        <v>65</v>
      </c>
      <c r="C23" s="73" t="s">
        <v>93</v>
      </c>
      <c r="D23" s="74">
        <v>1</v>
      </c>
      <c r="E23" s="61"/>
      <c r="F23" s="61"/>
      <c r="G23" s="73" t="s">
        <v>93</v>
      </c>
      <c r="H23" s="76">
        <v>1</v>
      </c>
      <c r="I23" s="79">
        <v>520000</v>
      </c>
      <c r="J23" s="78">
        <f t="shared" si="0"/>
        <v>520000</v>
      </c>
      <c r="K23" s="73" t="s">
        <v>93</v>
      </c>
      <c r="L23" s="74">
        <v>1</v>
      </c>
      <c r="M23" s="42"/>
      <c r="N23" s="43">
        <f t="shared" si="1"/>
        <v>0</v>
      </c>
      <c r="O23" s="73" t="s">
        <v>93</v>
      </c>
      <c r="P23" s="74">
        <v>1</v>
      </c>
      <c r="Q23" s="42"/>
      <c r="R23" s="43">
        <f t="shared" si="2"/>
        <v>0</v>
      </c>
    </row>
    <row r="24" spans="1:18" ht="68.25" customHeight="1" x14ac:dyDescent="0.2">
      <c r="A24" s="64" t="s">
        <v>101</v>
      </c>
      <c r="B24" s="72" t="s">
        <v>66</v>
      </c>
      <c r="C24" s="73" t="s">
        <v>93</v>
      </c>
      <c r="D24" s="74">
        <v>1</v>
      </c>
      <c r="E24" s="61"/>
      <c r="F24" s="61"/>
      <c r="G24" s="73" t="s">
        <v>93</v>
      </c>
      <c r="H24" s="76">
        <v>1</v>
      </c>
      <c r="I24" s="79">
        <v>520000</v>
      </c>
      <c r="J24" s="78">
        <f t="shared" si="0"/>
        <v>520000</v>
      </c>
      <c r="K24" s="73" t="s">
        <v>93</v>
      </c>
      <c r="L24" s="74">
        <v>1</v>
      </c>
      <c r="M24" s="42"/>
      <c r="N24" s="43">
        <f t="shared" si="1"/>
        <v>0</v>
      </c>
      <c r="O24" s="73" t="s">
        <v>93</v>
      </c>
      <c r="P24" s="74">
        <v>1</v>
      </c>
      <c r="Q24" s="42"/>
      <c r="R24" s="43">
        <f t="shared" si="2"/>
        <v>0</v>
      </c>
    </row>
    <row r="25" spans="1:18" ht="68.25" customHeight="1" x14ac:dyDescent="0.2">
      <c r="A25" s="64" t="s">
        <v>101</v>
      </c>
      <c r="B25" s="72" t="s">
        <v>110</v>
      </c>
      <c r="C25" s="73" t="s">
        <v>94</v>
      </c>
      <c r="D25" s="74">
        <v>1</v>
      </c>
      <c r="E25" s="82"/>
      <c r="F25" s="61"/>
      <c r="G25" s="73" t="s">
        <v>94</v>
      </c>
      <c r="H25" s="74">
        <v>1</v>
      </c>
      <c r="I25" s="75"/>
      <c r="J25" s="43">
        <f t="shared" si="0"/>
        <v>0</v>
      </c>
      <c r="K25" s="73" t="s">
        <v>94</v>
      </c>
      <c r="L25" s="74">
        <v>1</v>
      </c>
      <c r="M25" s="42"/>
      <c r="N25" s="43">
        <f t="shared" si="1"/>
        <v>0</v>
      </c>
      <c r="O25" s="73" t="s">
        <v>94</v>
      </c>
      <c r="P25" s="76">
        <v>2</v>
      </c>
      <c r="Q25" s="77">
        <v>33764</v>
      </c>
      <c r="R25" s="78">
        <f t="shared" si="2"/>
        <v>67528</v>
      </c>
    </row>
    <row r="26" spans="1:18" ht="68.25" customHeight="1" x14ac:dyDescent="0.2">
      <c r="A26" s="64" t="s">
        <v>101</v>
      </c>
      <c r="B26" s="72" t="s">
        <v>111</v>
      </c>
      <c r="C26" s="73" t="s">
        <v>94</v>
      </c>
      <c r="D26" s="74">
        <v>1</v>
      </c>
      <c r="E26" s="61"/>
      <c r="F26" s="61"/>
      <c r="G26" s="73"/>
      <c r="H26" s="74"/>
      <c r="I26" s="75"/>
      <c r="J26" s="43"/>
      <c r="K26" s="73"/>
      <c r="L26" s="74"/>
      <c r="M26" s="42"/>
      <c r="N26" s="43"/>
      <c r="O26" s="73" t="s">
        <v>94</v>
      </c>
      <c r="P26" s="76">
        <v>1</v>
      </c>
      <c r="Q26" s="77">
        <v>48668</v>
      </c>
      <c r="R26" s="78">
        <f t="shared" si="2"/>
        <v>48668</v>
      </c>
    </row>
    <row r="27" spans="1:18" ht="68.25" customHeight="1" x14ac:dyDescent="0.2">
      <c r="A27" s="64" t="s">
        <v>101</v>
      </c>
      <c r="B27" s="72" t="s">
        <v>67</v>
      </c>
      <c r="C27" s="73" t="s">
        <v>87</v>
      </c>
      <c r="D27" s="74">
        <v>5</v>
      </c>
      <c r="E27" s="61"/>
      <c r="F27" s="61"/>
      <c r="G27" s="73" t="s">
        <v>87</v>
      </c>
      <c r="H27" s="74">
        <v>5</v>
      </c>
      <c r="I27" s="75"/>
      <c r="J27" s="43">
        <f t="shared" si="0"/>
        <v>0</v>
      </c>
      <c r="K27" s="73" t="s">
        <v>87</v>
      </c>
      <c r="L27" s="74">
        <v>5</v>
      </c>
      <c r="M27" s="42"/>
      <c r="N27" s="43">
        <f t="shared" si="1"/>
        <v>0</v>
      </c>
      <c r="O27" s="73" t="s">
        <v>87</v>
      </c>
      <c r="P27" s="76">
        <v>5</v>
      </c>
      <c r="Q27" s="77">
        <v>164534.5</v>
      </c>
      <c r="R27" s="78">
        <f t="shared" si="2"/>
        <v>822672.5</v>
      </c>
    </row>
    <row r="28" spans="1:18" ht="68.25" customHeight="1" x14ac:dyDescent="0.2">
      <c r="A28" s="64" t="s">
        <v>101</v>
      </c>
      <c r="B28" s="72" t="s">
        <v>68</v>
      </c>
      <c r="C28" s="73" t="s">
        <v>95</v>
      </c>
      <c r="D28" s="74">
        <v>2</v>
      </c>
      <c r="E28" s="61"/>
      <c r="F28" s="61"/>
      <c r="G28" s="73" t="s">
        <v>95</v>
      </c>
      <c r="H28" s="76">
        <v>2</v>
      </c>
      <c r="I28" s="79">
        <v>238000</v>
      </c>
      <c r="J28" s="78">
        <f t="shared" si="0"/>
        <v>476000</v>
      </c>
      <c r="K28" s="73" t="s">
        <v>95</v>
      </c>
      <c r="L28" s="74">
        <v>2</v>
      </c>
      <c r="M28" s="42"/>
      <c r="N28" s="43">
        <f t="shared" si="1"/>
        <v>0</v>
      </c>
      <c r="O28" s="73" t="s">
        <v>95</v>
      </c>
      <c r="P28" s="74">
        <v>2</v>
      </c>
      <c r="Q28" s="42"/>
      <c r="R28" s="43">
        <f t="shared" si="2"/>
        <v>0</v>
      </c>
    </row>
    <row r="29" spans="1:18" ht="68.25" customHeight="1" x14ac:dyDescent="0.2">
      <c r="A29" s="64" t="s">
        <v>101</v>
      </c>
      <c r="B29" s="72" t="s">
        <v>69</v>
      </c>
      <c r="C29" s="73" t="s">
        <v>89</v>
      </c>
      <c r="D29" s="74">
        <v>2</v>
      </c>
      <c r="E29" s="61"/>
      <c r="F29" s="61"/>
      <c r="G29" s="73" t="s">
        <v>89</v>
      </c>
      <c r="H29" s="76">
        <v>2</v>
      </c>
      <c r="I29" s="79">
        <v>165000</v>
      </c>
      <c r="J29" s="78">
        <f t="shared" si="0"/>
        <v>330000</v>
      </c>
      <c r="K29" s="73" t="s">
        <v>89</v>
      </c>
      <c r="L29" s="74">
        <v>2</v>
      </c>
      <c r="M29" s="42"/>
      <c r="N29" s="43">
        <f t="shared" si="1"/>
        <v>0</v>
      </c>
      <c r="O29" s="73" t="s">
        <v>89</v>
      </c>
      <c r="P29" s="74">
        <v>2</v>
      </c>
      <c r="Q29" s="42"/>
      <c r="R29" s="43">
        <f t="shared" si="2"/>
        <v>0</v>
      </c>
    </row>
    <row r="30" spans="1:18" ht="68.25" customHeight="1" x14ac:dyDescent="0.2">
      <c r="A30" s="64" t="s">
        <v>101</v>
      </c>
      <c r="B30" s="72" t="s">
        <v>70</v>
      </c>
      <c r="C30" s="73" t="s">
        <v>96</v>
      </c>
      <c r="D30" s="74">
        <v>1</v>
      </c>
      <c r="E30" s="81" t="s">
        <v>115</v>
      </c>
      <c r="F30" s="61"/>
      <c r="G30" s="73" t="s">
        <v>96</v>
      </c>
      <c r="H30" s="76">
        <v>1</v>
      </c>
      <c r="I30" s="79">
        <v>205000</v>
      </c>
      <c r="J30" s="78">
        <f t="shared" si="0"/>
        <v>205000</v>
      </c>
      <c r="K30" s="73" t="s">
        <v>96</v>
      </c>
      <c r="L30" s="74">
        <v>1</v>
      </c>
      <c r="M30" s="42">
        <v>155575</v>
      </c>
      <c r="N30" s="43">
        <f t="shared" si="1"/>
        <v>155575</v>
      </c>
      <c r="O30" s="73" t="s">
        <v>96</v>
      </c>
      <c r="P30" s="74">
        <v>1</v>
      </c>
      <c r="Q30" s="42"/>
      <c r="R30" s="43">
        <f t="shared" si="2"/>
        <v>0</v>
      </c>
    </row>
    <row r="31" spans="1:18" ht="68.25" customHeight="1" x14ac:dyDescent="0.2">
      <c r="A31" s="64" t="s">
        <v>101</v>
      </c>
      <c r="B31" s="72" t="s">
        <v>71</v>
      </c>
      <c r="C31" s="73" t="s">
        <v>87</v>
      </c>
      <c r="D31" s="74">
        <v>2</v>
      </c>
      <c r="E31" s="61"/>
      <c r="F31" s="61"/>
      <c r="G31" s="73" t="s">
        <v>86</v>
      </c>
      <c r="H31" s="76">
        <v>2</v>
      </c>
      <c r="I31" s="79">
        <v>250000</v>
      </c>
      <c r="J31" s="78">
        <f t="shared" si="0"/>
        <v>500000</v>
      </c>
      <c r="K31" s="73" t="s">
        <v>106</v>
      </c>
      <c r="L31" s="74">
        <v>4</v>
      </c>
      <c r="M31" s="42">
        <v>440000</v>
      </c>
      <c r="N31" s="43">
        <f t="shared" si="1"/>
        <v>1760000</v>
      </c>
      <c r="O31" s="73" t="s">
        <v>86</v>
      </c>
      <c r="P31" s="74">
        <v>2</v>
      </c>
      <c r="Q31" s="42">
        <v>280338.5</v>
      </c>
      <c r="R31" s="43">
        <f t="shared" si="2"/>
        <v>560677</v>
      </c>
    </row>
    <row r="32" spans="1:18" ht="68.25" customHeight="1" x14ac:dyDescent="0.2">
      <c r="A32" s="64" t="s">
        <v>101</v>
      </c>
      <c r="B32" s="72" t="s">
        <v>72</v>
      </c>
      <c r="C32" s="73" t="s">
        <v>87</v>
      </c>
      <c r="D32" s="74">
        <v>5</v>
      </c>
      <c r="E32" s="61"/>
      <c r="F32" s="61"/>
      <c r="G32" s="73" t="s">
        <v>87</v>
      </c>
      <c r="H32" s="74">
        <v>5</v>
      </c>
      <c r="I32" s="75"/>
      <c r="J32" s="43">
        <f t="shared" si="0"/>
        <v>0</v>
      </c>
      <c r="K32" s="73" t="s">
        <v>87</v>
      </c>
      <c r="L32" s="74">
        <v>5</v>
      </c>
      <c r="M32" s="42"/>
      <c r="N32" s="43">
        <f t="shared" si="1"/>
        <v>0</v>
      </c>
      <c r="O32" s="73" t="s">
        <v>87</v>
      </c>
      <c r="P32" s="76">
        <v>5</v>
      </c>
      <c r="Q32" s="77">
        <v>90012.800000000003</v>
      </c>
      <c r="R32" s="78">
        <f t="shared" si="2"/>
        <v>450064</v>
      </c>
    </row>
    <row r="33" spans="1:18" ht="68.25" customHeight="1" x14ac:dyDescent="0.2">
      <c r="A33" s="64" t="s">
        <v>101</v>
      </c>
      <c r="B33" s="72" t="s">
        <v>73</v>
      </c>
      <c r="C33" s="73" t="s">
        <v>87</v>
      </c>
      <c r="D33" s="74">
        <v>5</v>
      </c>
      <c r="E33" s="61"/>
      <c r="F33" s="61"/>
      <c r="G33" s="73" t="s">
        <v>87</v>
      </c>
      <c r="H33" s="74">
        <v>5</v>
      </c>
      <c r="I33" s="75"/>
      <c r="J33" s="43">
        <f t="shared" si="0"/>
        <v>0</v>
      </c>
      <c r="K33" s="73" t="s">
        <v>87</v>
      </c>
      <c r="L33" s="74">
        <v>5</v>
      </c>
      <c r="M33" s="42"/>
      <c r="N33" s="43">
        <f t="shared" si="1"/>
        <v>0</v>
      </c>
      <c r="O33" s="73" t="s">
        <v>86</v>
      </c>
      <c r="P33" s="76">
        <v>5</v>
      </c>
      <c r="Q33" s="77">
        <v>152330</v>
      </c>
      <c r="R33" s="78">
        <f t="shared" si="2"/>
        <v>761650</v>
      </c>
    </row>
    <row r="34" spans="1:18" ht="116.25" customHeight="1" x14ac:dyDescent="0.2">
      <c r="A34" s="64" t="s">
        <v>101</v>
      </c>
      <c r="B34" s="72" t="s">
        <v>74</v>
      </c>
      <c r="C34" s="73" t="s">
        <v>85</v>
      </c>
      <c r="D34" s="74">
        <v>3</v>
      </c>
      <c r="E34" s="80" t="s">
        <v>116</v>
      </c>
      <c r="F34" s="61"/>
      <c r="G34" s="73" t="s">
        <v>85</v>
      </c>
      <c r="H34" s="74">
        <v>3</v>
      </c>
      <c r="I34" s="75"/>
      <c r="J34" s="43">
        <f t="shared" si="0"/>
        <v>0</v>
      </c>
      <c r="K34" s="73" t="s">
        <v>85</v>
      </c>
      <c r="L34" s="74">
        <v>3</v>
      </c>
      <c r="M34" s="42"/>
      <c r="N34" s="43">
        <f t="shared" si="1"/>
        <v>0</v>
      </c>
      <c r="O34" s="73" t="s">
        <v>85</v>
      </c>
      <c r="P34" s="74">
        <v>3</v>
      </c>
      <c r="Q34" s="42">
        <v>57280</v>
      </c>
      <c r="R34" s="43">
        <f t="shared" si="2"/>
        <v>171840</v>
      </c>
    </row>
    <row r="35" spans="1:18" ht="68.25" customHeight="1" x14ac:dyDescent="0.2">
      <c r="A35" s="64" t="s">
        <v>101</v>
      </c>
      <c r="B35" s="72" t="s">
        <v>75</v>
      </c>
      <c r="C35" s="73" t="s">
        <v>85</v>
      </c>
      <c r="D35" s="74">
        <v>2</v>
      </c>
      <c r="E35" s="61"/>
      <c r="F35" s="61"/>
      <c r="G35" s="73" t="s">
        <v>85</v>
      </c>
      <c r="H35" s="74">
        <v>2</v>
      </c>
      <c r="I35" s="75"/>
      <c r="J35" s="43">
        <f t="shared" si="0"/>
        <v>0</v>
      </c>
      <c r="K35" s="73" t="s">
        <v>85</v>
      </c>
      <c r="L35" s="74">
        <v>2</v>
      </c>
      <c r="M35" s="42"/>
      <c r="N35" s="43">
        <f t="shared" si="1"/>
        <v>0</v>
      </c>
      <c r="O35" s="73" t="s">
        <v>85</v>
      </c>
      <c r="P35" s="76">
        <v>2</v>
      </c>
      <c r="Q35" s="77">
        <f>106560/2</f>
        <v>53280</v>
      </c>
      <c r="R35" s="78">
        <f>Q35*P35</f>
        <v>106560</v>
      </c>
    </row>
    <row r="36" spans="1:18" ht="68.25" customHeight="1" x14ac:dyDescent="0.2">
      <c r="A36" s="64" t="s">
        <v>101</v>
      </c>
      <c r="B36" s="72" t="s">
        <v>76</v>
      </c>
      <c r="C36" s="73" t="s">
        <v>90</v>
      </c>
      <c r="D36" s="74">
        <v>4</v>
      </c>
      <c r="E36" s="61"/>
      <c r="F36" s="61"/>
      <c r="G36" s="73" t="s">
        <v>90</v>
      </c>
      <c r="H36" s="74">
        <v>4</v>
      </c>
      <c r="I36" s="75"/>
      <c r="J36" s="43">
        <f t="shared" si="0"/>
        <v>0</v>
      </c>
      <c r="K36" s="73" t="s">
        <v>50</v>
      </c>
      <c r="L36" s="74">
        <v>400</v>
      </c>
      <c r="M36" s="42">
        <v>64</v>
      </c>
      <c r="N36" s="43">
        <f t="shared" si="1"/>
        <v>25600</v>
      </c>
      <c r="O36" s="73" t="s">
        <v>90</v>
      </c>
      <c r="P36" s="76">
        <v>4</v>
      </c>
      <c r="Q36" s="77">
        <v>9300</v>
      </c>
      <c r="R36" s="78">
        <f t="shared" si="2"/>
        <v>37200</v>
      </c>
    </row>
    <row r="37" spans="1:18" ht="68.25" customHeight="1" x14ac:dyDescent="0.2">
      <c r="A37" s="64" t="s">
        <v>101</v>
      </c>
      <c r="B37" s="72" t="s">
        <v>77</v>
      </c>
      <c r="C37" s="73" t="s">
        <v>97</v>
      </c>
      <c r="D37" s="74">
        <v>1</v>
      </c>
      <c r="E37" s="61"/>
      <c r="F37" s="61"/>
      <c r="G37" s="73" t="s">
        <v>104</v>
      </c>
      <c r="H37" s="76">
        <v>1</v>
      </c>
      <c r="I37" s="79">
        <v>375000</v>
      </c>
      <c r="J37" s="78">
        <f t="shared" si="0"/>
        <v>375000</v>
      </c>
      <c r="K37" s="73" t="s">
        <v>97</v>
      </c>
      <c r="L37" s="74">
        <v>1</v>
      </c>
      <c r="M37" s="42"/>
      <c r="N37" s="43">
        <f t="shared" si="1"/>
        <v>0</v>
      </c>
      <c r="O37" s="73" t="s">
        <v>97</v>
      </c>
      <c r="P37" s="74">
        <v>1</v>
      </c>
      <c r="Q37" s="42"/>
      <c r="R37" s="43">
        <f t="shared" si="2"/>
        <v>0</v>
      </c>
    </row>
    <row r="38" spans="1:18" ht="68.25" customHeight="1" x14ac:dyDescent="0.2">
      <c r="A38" s="64" t="s">
        <v>101</v>
      </c>
      <c r="B38" s="72" t="s">
        <v>78</v>
      </c>
      <c r="C38" s="73" t="s">
        <v>97</v>
      </c>
      <c r="D38" s="74">
        <v>1</v>
      </c>
      <c r="E38" s="61"/>
      <c r="F38" s="61"/>
      <c r="G38" s="73" t="s">
        <v>97</v>
      </c>
      <c r="H38" s="76">
        <v>1</v>
      </c>
      <c r="I38" s="79">
        <v>375000</v>
      </c>
      <c r="J38" s="78">
        <f t="shared" si="0"/>
        <v>375000</v>
      </c>
      <c r="K38" s="73" t="s">
        <v>97</v>
      </c>
      <c r="L38" s="74">
        <v>1</v>
      </c>
      <c r="M38" s="42"/>
      <c r="N38" s="43">
        <f t="shared" si="1"/>
        <v>0</v>
      </c>
      <c r="O38" s="73" t="s">
        <v>97</v>
      </c>
      <c r="P38" s="74">
        <v>1</v>
      </c>
      <c r="Q38" s="42"/>
      <c r="R38" s="43">
        <f t="shared" si="2"/>
        <v>0</v>
      </c>
    </row>
    <row r="39" spans="1:18" ht="68.25" customHeight="1" x14ac:dyDescent="0.2">
      <c r="A39" s="64" t="s">
        <v>101</v>
      </c>
      <c r="B39" s="72" t="s">
        <v>79</v>
      </c>
      <c r="C39" s="73" t="s">
        <v>98</v>
      </c>
      <c r="D39" s="74">
        <v>2</v>
      </c>
      <c r="E39" s="61"/>
      <c r="F39" s="61"/>
      <c r="G39" s="73" t="s">
        <v>98</v>
      </c>
      <c r="H39" s="76">
        <v>2</v>
      </c>
      <c r="I39" s="79">
        <v>260000</v>
      </c>
      <c r="J39" s="78">
        <f t="shared" si="0"/>
        <v>520000</v>
      </c>
      <c r="K39" s="73" t="s">
        <v>98</v>
      </c>
      <c r="L39" s="74">
        <v>2</v>
      </c>
      <c r="M39" s="42"/>
      <c r="N39" s="43">
        <f t="shared" si="1"/>
        <v>0</v>
      </c>
      <c r="O39" s="73" t="s">
        <v>98</v>
      </c>
      <c r="P39" s="74">
        <v>2</v>
      </c>
      <c r="Q39" s="42"/>
      <c r="R39" s="43">
        <f t="shared" si="2"/>
        <v>0</v>
      </c>
    </row>
    <row r="40" spans="1:18" ht="68.25" customHeight="1" x14ac:dyDescent="0.2">
      <c r="A40" s="64" t="s">
        <v>101</v>
      </c>
      <c r="B40" s="72" t="s">
        <v>80</v>
      </c>
      <c r="C40" s="73" t="s">
        <v>98</v>
      </c>
      <c r="D40" s="74">
        <v>2</v>
      </c>
      <c r="E40" s="61"/>
      <c r="F40" s="61"/>
      <c r="G40" s="73" t="s">
        <v>98</v>
      </c>
      <c r="H40" s="76">
        <v>2</v>
      </c>
      <c r="I40" s="79">
        <v>260000</v>
      </c>
      <c r="J40" s="78">
        <f t="shared" si="0"/>
        <v>520000</v>
      </c>
      <c r="K40" s="73" t="s">
        <v>98</v>
      </c>
      <c r="L40" s="74">
        <v>2</v>
      </c>
      <c r="M40" s="42"/>
      <c r="N40" s="43">
        <f t="shared" si="1"/>
        <v>0</v>
      </c>
      <c r="O40" s="73" t="s">
        <v>98</v>
      </c>
      <c r="P40" s="74">
        <v>2</v>
      </c>
      <c r="Q40" s="42"/>
      <c r="R40" s="43">
        <f t="shared" si="2"/>
        <v>0</v>
      </c>
    </row>
    <row r="41" spans="1:18" ht="68.25" customHeight="1" x14ac:dyDescent="0.2">
      <c r="A41" s="64" t="s">
        <v>101</v>
      </c>
      <c r="B41" s="72" t="s">
        <v>81</v>
      </c>
      <c r="C41" s="73" t="s">
        <v>99</v>
      </c>
      <c r="D41" s="74">
        <v>1</v>
      </c>
      <c r="E41" s="61"/>
      <c r="F41" s="61"/>
      <c r="G41" s="73" t="s">
        <v>99</v>
      </c>
      <c r="H41" s="76">
        <v>1</v>
      </c>
      <c r="I41" s="79">
        <v>248100</v>
      </c>
      <c r="J41" s="78">
        <f t="shared" si="0"/>
        <v>248100</v>
      </c>
      <c r="K41" s="73" t="s">
        <v>99</v>
      </c>
      <c r="L41" s="74">
        <v>1</v>
      </c>
      <c r="M41" s="42"/>
      <c r="N41" s="43">
        <f t="shared" si="1"/>
        <v>0</v>
      </c>
      <c r="O41" s="73" t="s">
        <v>99</v>
      </c>
      <c r="P41" s="74">
        <v>1</v>
      </c>
      <c r="Q41" s="42"/>
      <c r="R41" s="43">
        <f t="shared" si="2"/>
        <v>0</v>
      </c>
    </row>
    <row r="42" spans="1:18" ht="68.25" customHeight="1" x14ac:dyDescent="0.2">
      <c r="A42" s="64" t="s">
        <v>101</v>
      </c>
      <c r="B42" s="72" t="s">
        <v>82</v>
      </c>
      <c r="C42" s="73" t="s">
        <v>100</v>
      </c>
      <c r="D42" s="74">
        <v>1</v>
      </c>
      <c r="E42" s="61"/>
      <c r="F42" s="61"/>
      <c r="G42" s="73" t="s">
        <v>100</v>
      </c>
      <c r="H42" s="76">
        <v>1</v>
      </c>
      <c r="I42" s="79">
        <v>270000</v>
      </c>
      <c r="J42" s="78">
        <f t="shared" si="0"/>
        <v>270000</v>
      </c>
      <c r="K42" s="73" t="s">
        <v>100</v>
      </c>
      <c r="L42" s="74">
        <v>1</v>
      </c>
      <c r="M42" s="42"/>
      <c r="N42" s="43">
        <f t="shared" si="1"/>
        <v>0</v>
      </c>
      <c r="O42" s="73" t="s">
        <v>100</v>
      </c>
      <c r="P42" s="74">
        <v>1</v>
      </c>
      <c r="Q42" s="42"/>
      <c r="R42" s="43">
        <f t="shared" si="2"/>
        <v>0</v>
      </c>
    </row>
    <row r="43" spans="1:18" ht="68.25" customHeight="1" x14ac:dyDescent="0.2">
      <c r="A43" s="64" t="s">
        <v>101</v>
      </c>
      <c r="B43" s="72" t="s">
        <v>83</v>
      </c>
      <c r="C43" s="73" t="s">
        <v>100</v>
      </c>
      <c r="D43" s="74">
        <v>1</v>
      </c>
      <c r="E43" s="61"/>
      <c r="F43" s="61"/>
      <c r="G43" s="73" t="s">
        <v>100</v>
      </c>
      <c r="H43" s="76">
        <v>1</v>
      </c>
      <c r="I43" s="79">
        <v>168400</v>
      </c>
      <c r="J43" s="78">
        <f t="shared" si="0"/>
        <v>168400</v>
      </c>
      <c r="K43" s="73" t="s">
        <v>100</v>
      </c>
      <c r="L43" s="74">
        <v>1</v>
      </c>
      <c r="M43" s="42">
        <v>53433</v>
      </c>
      <c r="N43" s="43">
        <f t="shared" si="1"/>
        <v>53433</v>
      </c>
      <c r="O43" s="73" t="s">
        <v>100</v>
      </c>
      <c r="P43" s="74">
        <v>1</v>
      </c>
      <c r="Q43" s="42"/>
      <c r="R43" s="43">
        <f t="shared" si="2"/>
        <v>0</v>
      </c>
    </row>
    <row r="44" spans="1:18" ht="68.25" customHeight="1" thickBot="1" x14ac:dyDescent="0.25">
      <c r="A44" s="64" t="s">
        <v>101</v>
      </c>
      <c r="B44" s="72" t="s">
        <v>84</v>
      </c>
      <c r="C44" s="73" t="s">
        <v>7</v>
      </c>
      <c r="D44" s="74">
        <v>1</v>
      </c>
      <c r="E44" s="81" t="s">
        <v>115</v>
      </c>
      <c r="F44" s="61"/>
      <c r="G44" s="73" t="s">
        <v>7</v>
      </c>
      <c r="H44" s="76">
        <v>1</v>
      </c>
      <c r="I44" s="79">
        <v>434499</v>
      </c>
      <c r="J44" s="78">
        <f t="shared" si="0"/>
        <v>434499</v>
      </c>
      <c r="K44" s="73" t="s">
        <v>7</v>
      </c>
      <c r="L44" s="74">
        <v>1</v>
      </c>
      <c r="M44" s="42"/>
      <c r="N44" s="43">
        <f t="shared" si="1"/>
        <v>0</v>
      </c>
      <c r="O44" s="73" t="s">
        <v>7</v>
      </c>
      <c r="P44" s="74">
        <v>1</v>
      </c>
      <c r="Q44" s="42">
        <v>345900</v>
      </c>
      <c r="R44" s="43">
        <f t="shared" si="2"/>
        <v>345900</v>
      </c>
    </row>
    <row r="45" spans="1:18" ht="19" x14ac:dyDescent="0.25">
      <c r="A45" s="124"/>
      <c r="B45" s="125"/>
      <c r="C45" s="126"/>
      <c r="D45" s="59" t="s">
        <v>13</v>
      </c>
      <c r="E45" s="44" t="s">
        <v>13</v>
      </c>
      <c r="F45" s="44" t="s">
        <v>13</v>
      </c>
      <c r="G45" s="60"/>
      <c r="H45" s="46"/>
      <c r="I45" s="47"/>
      <c r="J45" s="48">
        <f>SUM(J10:J44)</f>
        <v>7554499</v>
      </c>
      <c r="K45" s="45"/>
      <c r="L45" s="46"/>
      <c r="M45" s="47"/>
      <c r="N45" s="48">
        <f>SUM(N10:N44)</f>
        <v>2139308</v>
      </c>
      <c r="O45" s="45"/>
      <c r="P45" s="46"/>
      <c r="Q45" s="47"/>
      <c r="R45" s="48">
        <v>6859494</v>
      </c>
    </row>
    <row r="46" spans="1:18" ht="19" x14ac:dyDescent="0.25">
      <c r="A46" s="124"/>
      <c r="B46" s="125"/>
      <c r="C46" s="126"/>
      <c r="D46" s="49" t="s">
        <v>11</v>
      </c>
      <c r="E46" s="49" t="s">
        <v>11</v>
      </c>
      <c r="F46" s="49" t="s">
        <v>11</v>
      </c>
      <c r="G46" s="50"/>
      <c r="H46" s="51"/>
      <c r="I46" s="52"/>
      <c r="J46" s="53">
        <v>235426</v>
      </c>
      <c r="K46" s="50"/>
      <c r="L46" s="51"/>
      <c r="M46" s="52"/>
      <c r="N46" s="53">
        <v>27493</v>
      </c>
      <c r="O46" s="50"/>
      <c r="P46" s="51"/>
      <c r="Q46" s="52"/>
      <c r="R46" s="53">
        <v>103468.87</v>
      </c>
    </row>
    <row r="47" spans="1:18" ht="19" x14ac:dyDescent="0.25">
      <c r="A47" s="124"/>
      <c r="B47" s="125"/>
      <c r="C47" s="126"/>
      <c r="D47" s="49" t="s">
        <v>14</v>
      </c>
      <c r="E47" s="49" t="s">
        <v>14</v>
      </c>
      <c r="F47" s="49" t="s">
        <v>14</v>
      </c>
      <c r="G47" s="50"/>
      <c r="H47" s="51"/>
      <c r="I47" s="52"/>
      <c r="J47" s="53"/>
      <c r="K47" s="50"/>
      <c r="L47" s="51"/>
      <c r="M47" s="52"/>
      <c r="N47" s="53"/>
      <c r="O47" s="50"/>
      <c r="P47" s="51"/>
      <c r="Q47" s="52"/>
      <c r="R47" s="53"/>
    </row>
    <row r="48" spans="1:18" ht="20" thickBot="1" x14ac:dyDescent="0.3">
      <c r="A48" s="127"/>
      <c r="B48" s="128"/>
      <c r="C48" s="129"/>
      <c r="D48" s="54" t="s">
        <v>12</v>
      </c>
      <c r="E48" s="54" t="s">
        <v>12</v>
      </c>
      <c r="F48" s="54" t="s">
        <v>12</v>
      </c>
      <c r="G48" s="55"/>
      <c r="H48" s="56"/>
      <c r="I48" s="57"/>
      <c r="J48" s="58">
        <f>+J46+J45</f>
        <v>7789925</v>
      </c>
      <c r="K48" s="55"/>
      <c r="L48" s="56"/>
      <c r="M48" s="57"/>
      <c r="N48" s="58">
        <f>+N45+N46</f>
        <v>2166801</v>
      </c>
      <c r="O48" s="55"/>
      <c r="P48" s="56"/>
      <c r="Q48" s="57"/>
      <c r="R48" s="58">
        <v>6962962.8700000001</v>
      </c>
    </row>
  </sheetData>
  <mergeCells count="9">
    <mergeCell ref="O8:R8"/>
    <mergeCell ref="A45:C48"/>
    <mergeCell ref="D6:H6"/>
    <mergeCell ref="K8:N8"/>
    <mergeCell ref="D3:D4"/>
    <mergeCell ref="B8:D8"/>
    <mergeCell ref="A8:A9"/>
    <mergeCell ref="E8:F8"/>
    <mergeCell ref="G8:J8"/>
  </mergeCells>
  <phoneticPr fontId="25" type="noConversion"/>
  <pageMargins left="0.7" right="0.7" top="0.75" bottom="0.75" header="0.3" footer="0.3"/>
  <pageSetup scale="36" fitToHeight="0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10740-3EC3-4E5B-9266-9401B1DCE8C6}">
  <sheetPr>
    <pageSetUpPr fitToPage="1"/>
  </sheetPr>
  <dimension ref="A1:IU46"/>
  <sheetViews>
    <sheetView topLeftCell="A32" workbookViewId="0">
      <selection activeCell="I12" sqref="I12"/>
    </sheetView>
  </sheetViews>
  <sheetFormatPr baseColWidth="10" defaultRowHeight="15" x14ac:dyDescent="0.2"/>
  <cols>
    <col min="1" max="1" width="40.6640625" bestFit="1" customWidth="1"/>
    <col min="2" max="2" width="33.5" bestFit="1" customWidth="1"/>
    <col min="3" max="3" width="43.1640625" customWidth="1"/>
    <col min="4" max="4" width="45.5" bestFit="1" customWidth="1"/>
    <col min="5" max="5" width="27.6640625" customWidth="1"/>
  </cols>
  <sheetData>
    <row r="1" spans="1:255" x14ac:dyDescent="0.2">
      <c r="A1" s="2"/>
      <c r="B1" s="2"/>
      <c r="C1" s="2"/>
      <c r="D1" s="2"/>
    </row>
    <row r="2" spans="1:255" ht="16" x14ac:dyDescent="0.2">
      <c r="A2" s="3"/>
      <c r="B2" s="4"/>
      <c r="C2" s="4"/>
      <c r="D2" s="4"/>
    </row>
    <row r="3" spans="1:255" ht="19" x14ac:dyDescent="0.25">
      <c r="A3" s="5" t="s">
        <v>17</v>
      </c>
      <c r="B3" s="6" t="s">
        <v>18</v>
      </c>
      <c r="C3" s="7" t="s">
        <v>19</v>
      </c>
      <c r="D3" s="7" t="s">
        <v>20</v>
      </c>
      <c r="E3" s="105">
        <v>731</v>
      </c>
    </row>
    <row r="4" spans="1:255" x14ac:dyDescent="0.2">
      <c r="A4" s="8"/>
      <c r="B4" s="9" t="s">
        <v>21</v>
      </c>
      <c r="C4" s="10" t="s">
        <v>22</v>
      </c>
      <c r="D4" s="103" t="s">
        <v>23</v>
      </c>
      <c r="E4" s="104"/>
    </row>
    <row r="5" spans="1:255" x14ac:dyDescent="0.2">
      <c r="A5" s="11" t="s">
        <v>24</v>
      </c>
      <c r="B5" s="12" t="s">
        <v>25</v>
      </c>
      <c r="C5" s="13"/>
      <c r="D5" s="14" t="s">
        <v>26</v>
      </c>
    </row>
    <row r="6" spans="1:255" x14ac:dyDescent="0.2">
      <c r="A6" s="14"/>
      <c r="B6" s="15"/>
      <c r="C6" s="16"/>
      <c r="D6" s="16"/>
    </row>
    <row r="7" spans="1:255" ht="17" thickBot="1" x14ac:dyDescent="0.25">
      <c r="A7" s="17" t="s">
        <v>27</v>
      </c>
      <c r="B7" s="18">
        <v>45853</v>
      </c>
      <c r="C7" s="16"/>
      <c r="D7" s="16"/>
    </row>
    <row r="8" spans="1:255" x14ac:dyDescent="0.2">
      <c r="A8" s="117" t="s">
        <v>28</v>
      </c>
      <c r="B8" s="117" t="s">
        <v>29</v>
      </c>
      <c r="C8" s="119" t="str">
        <f>+Hoja1!E8</f>
        <v xml:space="preserve">LUMIRA </v>
      </c>
      <c r="D8" s="106" t="str">
        <f>+Hoja1!I8</f>
        <v>IHR</v>
      </c>
      <c r="E8" s="106" t="str">
        <f>+Hoja1!M8</f>
        <v>SALUTI</v>
      </c>
    </row>
    <row r="9" spans="1:255" ht="16" thickBot="1" x14ac:dyDescent="0.25">
      <c r="A9" s="118"/>
      <c r="B9" s="118"/>
      <c r="C9" s="120"/>
      <c r="D9" s="107"/>
      <c r="E9" s="107"/>
    </row>
    <row r="10" spans="1:255" ht="63.75" customHeight="1" x14ac:dyDescent="0.2">
      <c r="A10" s="19" t="s">
        <v>30</v>
      </c>
      <c r="B10" s="19" t="s">
        <v>31</v>
      </c>
      <c r="C10" s="19" t="s">
        <v>120</v>
      </c>
      <c r="D10" s="19" t="s">
        <v>120</v>
      </c>
      <c r="E10" s="19" t="s">
        <v>119</v>
      </c>
    </row>
    <row r="11" spans="1:255" ht="63.75" customHeight="1" x14ac:dyDescent="0.2">
      <c r="A11" s="20" t="s">
        <v>32</v>
      </c>
      <c r="B11" s="20" t="s">
        <v>33</v>
      </c>
      <c r="C11" s="20" t="s">
        <v>33</v>
      </c>
      <c r="D11" s="20" t="s">
        <v>33</v>
      </c>
      <c r="E11" s="20" t="s">
        <v>33</v>
      </c>
    </row>
    <row r="12" spans="1:255" ht="63.75" customHeight="1" x14ac:dyDescent="0.2">
      <c r="A12" s="20" t="s">
        <v>34</v>
      </c>
      <c r="B12" s="20" t="s">
        <v>35</v>
      </c>
      <c r="C12" s="20" t="s">
        <v>35</v>
      </c>
      <c r="D12" s="20" t="s">
        <v>35</v>
      </c>
      <c r="E12" s="20" t="s">
        <v>35</v>
      </c>
    </row>
    <row r="13" spans="1:255" ht="16" x14ac:dyDescent="0.2">
      <c r="A13" s="21" t="s">
        <v>36</v>
      </c>
      <c r="B13" s="21" t="s">
        <v>37</v>
      </c>
      <c r="C13" s="22">
        <v>308000</v>
      </c>
      <c r="D13" s="22">
        <v>487300</v>
      </c>
      <c r="E13" s="22">
        <v>100602</v>
      </c>
    </row>
    <row r="14" spans="1:255" ht="33" customHeight="1" x14ac:dyDescent="0.2">
      <c r="A14" s="21" t="s">
        <v>38</v>
      </c>
      <c r="B14" s="21" t="s">
        <v>39</v>
      </c>
      <c r="C14" s="21" t="s">
        <v>39</v>
      </c>
      <c r="D14" s="21" t="s">
        <v>39</v>
      </c>
      <c r="E14" s="21" t="s">
        <v>39</v>
      </c>
      <c r="IU14" s="23" t="s">
        <v>39</v>
      </c>
    </row>
    <row r="15" spans="1:255" x14ac:dyDescent="0.2">
      <c r="A15" s="24"/>
      <c r="B15" s="116" t="s">
        <v>40</v>
      </c>
      <c r="C15" s="116"/>
      <c r="D15" s="116"/>
    </row>
    <row r="16" spans="1:255" x14ac:dyDescent="0.2">
      <c r="A16" s="24"/>
      <c r="B16" s="91"/>
      <c r="C16" s="91"/>
      <c r="D16" s="91"/>
    </row>
    <row r="17" spans="1:4" x14ac:dyDescent="0.2">
      <c r="A17" s="24"/>
      <c r="B17" s="91"/>
      <c r="C17" s="91"/>
      <c r="D17" s="91"/>
    </row>
    <row r="18" spans="1:4" x14ac:dyDescent="0.2">
      <c r="A18" s="24"/>
      <c r="B18" s="91"/>
      <c r="C18" s="91"/>
      <c r="D18" s="91"/>
    </row>
    <row r="19" spans="1:4" x14ac:dyDescent="0.2">
      <c r="A19" s="24"/>
      <c r="B19" s="91"/>
      <c r="C19" s="91"/>
      <c r="D19" s="91"/>
    </row>
    <row r="20" spans="1:4" x14ac:dyDescent="0.2">
      <c r="A20" s="24"/>
      <c r="B20" s="91"/>
      <c r="C20" s="91"/>
      <c r="D20" s="91"/>
    </row>
    <row r="21" spans="1:4" x14ac:dyDescent="0.2">
      <c r="A21" s="24"/>
      <c r="B21" s="91"/>
      <c r="C21" s="91"/>
      <c r="D21" s="91"/>
    </row>
    <row r="22" spans="1:4" x14ac:dyDescent="0.2">
      <c r="A22" s="24"/>
      <c r="B22" s="91"/>
      <c r="C22" s="91"/>
      <c r="D22" s="91"/>
    </row>
    <row r="23" spans="1:4" x14ac:dyDescent="0.2">
      <c r="A23" s="24"/>
      <c r="B23" s="91"/>
      <c r="C23" s="91"/>
      <c r="D23" s="91"/>
    </row>
    <row r="24" spans="1:4" x14ac:dyDescent="0.2">
      <c r="A24" s="24"/>
      <c r="B24" s="91"/>
      <c r="C24" s="91"/>
      <c r="D24" s="91"/>
    </row>
    <row r="25" spans="1:4" x14ac:dyDescent="0.2">
      <c r="A25" s="24"/>
      <c r="B25" s="91"/>
      <c r="C25" s="91"/>
      <c r="D25" s="91"/>
    </row>
    <row r="26" spans="1:4" x14ac:dyDescent="0.2">
      <c r="A26" s="24"/>
      <c r="B26" s="91"/>
      <c r="C26" s="91"/>
      <c r="D26" s="91"/>
    </row>
    <row r="27" spans="1:4" x14ac:dyDescent="0.2">
      <c r="A27" s="24"/>
      <c r="B27" s="91"/>
      <c r="C27" s="91"/>
      <c r="D27" s="91"/>
    </row>
    <row r="28" spans="1:4" x14ac:dyDescent="0.2">
      <c r="A28" s="24"/>
      <c r="B28" s="91"/>
      <c r="C28" s="91"/>
      <c r="D28" s="91"/>
    </row>
    <row r="29" spans="1:4" x14ac:dyDescent="0.2">
      <c r="A29" s="24"/>
      <c r="B29" s="91"/>
      <c r="C29" s="91"/>
      <c r="D29" s="91"/>
    </row>
    <row r="30" spans="1:4" x14ac:dyDescent="0.2">
      <c r="A30" s="24"/>
      <c r="B30" s="91"/>
      <c r="C30" s="91"/>
      <c r="D30" s="91"/>
    </row>
    <row r="31" spans="1:4" x14ac:dyDescent="0.2">
      <c r="A31" s="24"/>
      <c r="B31" s="91"/>
      <c r="C31" s="91"/>
      <c r="D31" s="91"/>
    </row>
    <row r="32" spans="1:4" ht="16" thickBot="1" x14ac:dyDescent="0.25">
      <c r="A32" s="25"/>
      <c r="B32" s="108"/>
      <c r="C32" s="108"/>
      <c r="D32" s="108"/>
    </row>
    <row r="33" spans="1:4" ht="93.75" customHeight="1" thickBot="1" x14ac:dyDescent="0.25">
      <c r="A33" s="114" t="s">
        <v>122</v>
      </c>
      <c r="B33" s="115"/>
      <c r="C33" s="115"/>
      <c r="D33" s="115"/>
    </row>
    <row r="34" spans="1:4" ht="16" x14ac:dyDescent="0.2">
      <c r="B34" s="26" t="s">
        <v>41</v>
      </c>
      <c r="C34" s="27"/>
      <c r="D34" s="27"/>
    </row>
    <row r="35" spans="1:4" ht="17" thickBot="1" x14ac:dyDescent="0.25">
      <c r="B35" s="4"/>
      <c r="C35" s="4"/>
      <c r="D35" s="4"/>
    </row>
    <row r="36" spans="1:4" ht="16" x14ac:dyDescent="0.2">
      <c r="B36" s="28" t="s">
        <v>42</v>
      </c>
      <c r="C36" s="29" t="s">
        <v>43</v>
      </c>
      <c r="D36" s="95" t="s">
        <v>44</v>
      </c>
    </row>
    <row r="37" spans="1:4" ht="17" thickBot="1" x14ac:dyDescent="0.25">
      <c r="B37" s="30"/>
      <c r="C37" s="31"/>
      <c r="D37" s="96"/>
    </row>
    <row r="38" spans="1:4" ht="16" x14ac:dyDescent="0.2">
      <c r="B38" s="32"/>
      <c r="C38" s="29"/>
      <c r="D38" s="97"/>
    </row>
    <row r="39" spans="1:4" ht="17" thickBot="1" x14ac:dyDescent="0.25">
      <c r="B39" s="33" t="s">
        <v>45</v>
      </c>
      <c r="C39" s="31"/>
      <c r="D39" s="97"/>
    </row>
    <row r="40" spans="1:4" ht="16" x14ac:dyDescent="0.2">
      <c r="B40" s="34" t="s">
        <v>46</v>
      </c>
      <c r="C40" s="35" t="s">
        <v>51</v>
      </c>
      <c r="D40" s="98" t="s">
        <v>47</v>
      </c>
    </row>
    <row r="41" spans="1:4" ht="16" thickBot="1" x14ac:dyDescent="0.25">
      <c r="B41" s="36"/>
      <c r="C41" s="37"/>
      <c r="D41" s="99"/>
    </row>
    <row r="42" spans="1:4" ht="17" thickBot="1" x14ac:dyDescent="0.25">
      <c r="B42" s="38" t="s">
        <v>48</v>
      </c>
      <c r="C42" s="39"/>
      <c r="D42" s="100"/>
    </row>
    <row r="43" spans="1:4" x14ac:dyDescent="0.2">
      <c r="B43" s="109"/>
      <c r="C43" s="110"/>
      <c r="D43" s="101" t="s">
        <v>49</v>
      </c>
    </row>
    <row r="44" spans="1:4" x14ac:dyDescent="0.2">
      <c r="B44" s="111"/>
      <c r="C44" s="112"/>
      <c r="D44" s="113"/>
    </row>
    <row r="45" spans="1:4" x14ac:dyDescent="0.2">
      <c r="B45" s="111"/>
      <c r="C45" s="112"/>
      <c r="D45" s="113"/>
    </row>
    <row r="46" spans="1:4" ht="16" thickBot="1" x14ac:dyDescent="0.25">
      <c r="B46" s="40"/>
      <c r="C46" s="41"/>
      <c r="D46" s="102"/>
    </row>
  </sheetData>
  <mergeCells count="11">
    <mergeCell ref="E8:E9"/>
    <mergeCell ref="B32:D32"/>
    <mergeCell ref="B43:C43"/>
    <mergeCell ref="B44:C45"/>
    <mergeCell ref="D44:D45"/>
    <mergeCell ref="A33:D33"/>
    <mergeCell ref="B15:D15"/>
    <mergeCell ref="A8:A9"/>
    <mergeCell ref="B8:B9"/>
    <mergeCell ref="C8:C9"/>
    <mergeCell ref="D8:D9"/>
  </mergeCells>
  <pageMargins left="0.7" right="0.7" top="0.75" bottom="0.75" header="0.3" footer="0.3"/>
  <pageSetup scale="10" orientation="landscape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E5980-AFF7-4935-849C-1A1DF1BAD043}">
  <sheetPr>
    <pageSetUpPr fitToPage="1"/>
  </sheetPr>
  <dimension ref="A3:P24"/>
  <sheetViews>
    <sheetView zoomScale="80" zoomScaleNormal="80" workbookViewId="0">
      <selection activeCell="K21" sqref="K21"/>
    </sheetView>
  </sheetViews>
  <sheetFormatPr baseColWidth="10" defaultRowHeight="15" x14ac:dyDescent="0.2"/>
  <cols>
    <col min="2" max="2" width="44" customWidth="1"/>
    <col min="3" max="3" width="19.5" customWidth="1"/>
    <col min="4" max="4" width="19.83203125" customWidth="1"/>
    <col min="6" max="6" width="11.5" customWidth="1"/>
    <col min="7" max="7" width="18.1640625" customWidth="1"/>
    <col min="8" max="8" width="25.5" customWidth="1"/>
    <col min="10" max="10" width="11.5" customWidth="1"/>
    <col min="11" max="11" width="18.1640625" customWidth="1"/>
    <col min="12" max="12" width="20" customWidth="1"/>
    <col min="15" max="15" width="13.5" customWidth="1"/>
    <col min="16" max="16" width="17.6640625" customWidth="1"/>
  </cols>
  <sheetData>
    <row r="3" spans="1:16" x14ac:dyDescent="0.2">
      <c r="D3" s="131" t="s">
        <v>118</v>
      </c>
    </row>
    <row r="4" spans="1:16" x14ac:dyDescent="0.2">
      <c r="D4" s="131"/>
    </row>
    <row r="6" spans="1:16" ht="15" customHeight="1" x14ac:dyDescent="0.2">
      <c r="B6" s="1" t="s">
        <v>16</v>
      </c>
      <c r="D6" s="130"/>
      <c r="E6" s="130"/>
      <c r="F6" s="130"/>
    </row>
    <row r="7" spans="1:16" ht="16" thickBot="1" x14ac:dyDescent="0.25"/>
    <row r="8" spans="1:16" ht="30" customHeight="1" thickBot="1" x14ac:dyDescent="0.25">
      <c r="A8" s="135" t="s">
        <v>0</v>
      </c>
      <c r="B8" s="132" t="s">
        <v>1</v>
      </c>
      <c r="C8" s="133"/>
      <c r="D8" s="134"/>
      <c r="E8" s="121" t="s">
        <v>103</v>
      </c>
      <c r="F8" s="122"/>
      <c r="G8" s="122"/>
      <c r="H8" s="123"/>
      <c r="I8" s="121" t="s">
        <v>117</v>
      </c>
      <c r="J8" s="122"/>
      <c r="K8" s="122"/>
      <c r="L8" s="123"/>
      <c r="M8" s="121" t="s">
        <v>121</v>
      </c>
      <c r="N8" s="122"/>
      <c r="O8" s="122"/>
      <c r="P8" s="123"/>
    </row>
    <row r="9" spans="1:16" ht="50.25" customHeight="1" thickBot="1" x14ac:dyDescent="0.25">
      <c r="A9" s="136"/>
      <c r="B9" s="86" t="s">
        <v>2</v>
      </c>
      <c r="C9" s="87" t="s">
        <v>3</v>
      </c>
      <c r="D9" s="88" t="s">
        <v>15</v>
      </c>
      <c r="E9" s="70" t="s">
        <v>7</v>
      </c>
      <c r="F9" s="71" t="s">
        <v>8</v>
      </c>
      <c r="G9" s="71" t="s">
        <v>9</v>
      </c>
      <c r="H9" s="67" t="s">
        <v>10</v>
      </c>
      <c r="I9" s="70" t="s">
        <v>7</v>
      </c>
      <c r="J9" s="71" t="s">
        <v>8</v>
      </c>
      <c r="K9" s="71" t="s">
        <v>9</v>
      </c>
      <c r="L9" s="67" t="s">
        <v>10</v>
      </c>
      <c r="M9" s="70" t="s">
        <v>7</v>
      </c>
      <c r="N9" s="71" t="s">
        <v>8</v>
      </c>
      <c r="O9" s="71" t="s">
        <v>9</v>
      </c>
      <c r="P9" s="67" t="s">
        <v>10</v>
      </c>
    </row>
    <row r="10" spans="1:16" ht="68.25" customHeight="1" x14ac:dyDescent="0.2">
      <c r="A10" s="92" t="s">
        <v>101</v>
      </c>
      <c r="B10" s="93" t="s">
        <v>57</v>
      </c>
      <c r="C10" s="89" t="s">
        <v>89</v>
      </c>
      <c r="D10" s="90">
        <v>2</v>
      </c>
      <c r="E10" s="89" t="s">
        <v>89</v>
      </c>
      <c r="F10" s="90">
        <v>2</v>
      </c>
      <c r="G10" s="83">
        <v>236000</v>
      </c>
      <c r="H10" s="84">
        <f t="shared" ref="H10:H13" si="0">G10*F10</f>
        <v>472000</v>
      </c>
      <c r="I10" s="89" t="s">
        <v>89</v>
      </c>
      <c r="J10" s="90">
        <v>2</v>
      </c>
      <c r="K10" s="85">
        <v>70700</v>
      </c>
      <c r="L10" s="84">
        <f t="shared" ref="L10:L13" si="1">K10*J10</f>
        <v>141400</v>
      </c>
      <c r="M10" s="89" t="s">
        <v>89</v>
      </c>
      <c r="N10" s="90">
        <v>2</v>
      </c>
      <c r="O10" s="85"/>
      <c r="P10" s="84">
        <f t="shared" ref="P10:P12" si="2">O10*N10</f>
        <v>0</v>
      </c>
    </row>
    <row r="11" spans="1:16" ht="68.25" customHeight="1" x14ac:dyDescent="0.2">
      <c r="A11" s="92" t="s">
        <v>101</v>
      </c>
      <c r="B11" s="93" t="s">
        <v>58</v>
      </c>
      <c r="C11" s="89" t="s">
        <v>90</v>
      </c>
      <c r="D11" s="90">
        <v>6</v>
      </c>
      <c r="E11" s="89" t="s">
        <v>90</v>
      </c>
      <c r="F11" s="90">
        <v>6</v>
      </c>
      <c r="G11" s="83"/>
      <c r="H11" s="84">
        <f t="shared" si="0"/>
        <v>0</v>
      </c>
      <c r="I11" s="89" t="s">
        <v>90</v>
      </c>
      <c r="J11" s="90">
        <v>6</v>
      </c>
      <c r="K11" s="85"/>
      <c r="L11" s="84">
        <f t="shared" si="1"/>
        <v>0</v>
      </c>
      <c r="M11" s="89" t="s">
        <v>90</v>
      </c>
      <c r="N11" s="90">
        <v>6</v>
      </c>
      <c r="O11" s="85">
        <v>16767</v>
      </c>
      <c r="P11" s="84">
        <f t="shared" si="2"/>
        <v>100602</v>
      </c>
    </row>
    <row r="12" spans="1:16" ht="68.25" customHeight="1" x14ac:dyDescent="0.2">
      <c r="A12" s="92" t="s">
        <v>101</v>
      </c>
      <c r="B12" s="93" t="s">
        <v>63</v>
      </c>
      <c r="C12" s="89" t="s">
        <v>86</v>
      </c>
      <c r="D12" s="90">
        <v>1</v>
      </c>
      <c r="E12" s="89" t="s">
        <v>86</v>
      </c>
      <c r="F12" s="90">
        <v>1</v>
      </c>
      <c r="G12" s="83">
        <v>308000</v>
      </c>
      <c r="H12" s="84">
        <f t="shared" si="0"/>
        <v>308000</v>
      </c>
      <c r="I12" s="89" t="s">
        <v>86</v>
      </c>
      <c r="J12" s="90">
        <v>1</v>
      </c>
      <c r="K12" s="85"/>
      <c r="L12" s="84">
        <f t="shared" si="1"/>
        <v>0</v>
      </c>
      <c r="M12" s="89" t="s">
        <v>86</v>
      </c>
      <c r="N12" s="90">
        <v>1</v>
      </c>
      <c r="O12" s="85"/>
      <c r="P12" s="84">
        <f t="shared" si="2"/>
        <v>0</v>
      </c>
    </row>
    <row r="13" spans="1:16" ht="68.25" customHeight="1" thickBot="1" x14ac:dyDescent="0.25">
      <c r="A13" s="92" t="s">
        <v>101</v>
      </c>
      <c r="B13" s="93" t="s">
        <v>84</v>
      </c>
      <c r="C13" s="89" t="s">
        <v>7</v>
      </c>
      <c r="D13" s="90">
        <v>1</v>
      </c>
      <c r="E13" s="89" t="s">
        <v>7</v>
      </c>
      <c r="F13" s="90">
        <v>1</v>
      </c>
      <c r="G13" s="83">
        <v>434499</v>
      </c>
      <c r="H13" s="84">
        <f t="shared" si="0"/>
        <v>434499</v>
      </c>
      <c r="I13" s="89" t="s">
        <v>7</v>
      </c>
      <c r="J13" s="90">
        <v>1</v>
      </c>
      <c r="K13" s="85">
        <v>345900</v>
      </c>
      <c r="L13" s="84">
        <f t="shared" si="1"/>
        <v>345900</v>
      </c>
      <c r="M13" s="89" t="s">
        <v>7</v>
      </c>
      <c r="N13" s="90">
        <v>1</v>
      </c>
      <c r="O13" s="85"/>
      <c r="P13" s="84">
        <f t="shared" ref="P13" si="3">O13*N13</f>
        <v>0</v>
      </c>
    </row>
    <row r="14" spans="1:16" ht="19" x14ac:dyDescent="0.25">
      <c r="A14" s="124"/>
      <c r="B14" s="125"/>
      <c r="C14" s="126"/>
      <c r="D14" s="59" t="s">
        <v>13</v>
      </c>
      <c r="E14" s="60"/>
      <c r="F14" s="46"/>
      <c r="G14" s="47"/>
      <c r="H14" s="48">
        <f>SUM(H10:H13)</f>
        <v>1214499</v>
      </c>
      <c r="I14" s="45"/>
      <c r="J14" s="46"/>
      <c r="K14" s="47"/>
      <c r="L14" s="48">
        <f>SUM(L10:L13)</f>
        <v>487300</v>
      </c>
      <c r="M14" s="45"/>
      <c r="N14" s="46"/>
      <c r="O14" s="47"/>
      <c r="P14" s="48">
        <f>SUM(P10:P13)</f>
        <v>100602</v>
      </c>
    </row>
    <row r="15" spans="1:16" ht="19" x14ac:dyDescent="0.25">
      <c r="A15" s="124"/>
      <c r="B15" s="125"/>
      <c r="C15" s="126"/>
      <c r="D15" s="49" t="s">
        <v>11</v>
      </c>
      <c r="E15" s="50"/>
      <c r="F15" s="51"/>
      <c r="G15" s="52"/>
      <c r="H15" s="53"/>
      <c r="I15" s="50"/>
      <c r="J15" s="51"/>
      <c r="K15" s="52"/>
      <c r="L15" s="53"/>
      <c r="M15" s="50"/>
      <c r="N15" s="51"/>
      <c r="O15" s="52"/>
      <c r="P15" s="53"/>
    </row>
    <row r="16" spans="1:16" ht="19" x14ac:dyDescent="0.25">
      <c r="A16" s="124"/>
      <c r="B16" s="125"/>
      <c r="C16" s="126"/>
      <c r="D16" s="49" t="s">
        <v>14</v>
      </c>
      <c r="E16" s="50"/>
      <c r="F16" s="51"/>
      <c r="G16" s="52"/>
      <c r="H16" s="53"/>
      <c r="I16" s="50"/>
      <c r="J16" s="51"/>
      <c r="K16" s="52"/>
      <c r="L16" s="53"/>
      <c r="M16" s="50"/>
      <c r="N16" s="51"/>
      <c r="O16" s="52"/>
      <c r="P16" s="53"/>
    </row>
    <row r="17" spans="1:16" ht="20" thickBot="1" x14ac:dyDescent="0.3">
      <c r="A17" s="127"/>
      <c r="B17" s="128"/>
      <c r="C17" s="129"/>
      <c r="D17" s="54" t="s">
        <v>12</v>
      </c>
      <c r="E17" s="55"/>
      <c r="F17" s="56"/>
      <c r="G17" s="57"/>
      <c r="H17" s="58">
        <f>+H15+H14</f>
        <v>1214499</v>
      </c>
      <c r="I17" s="55"/>
      <c r="J17" s="56"/>
      <c r="K17" s="57"/>
      <c r="L17" s="58">
        <f>+L14+L15</f>
        <v>487300</v>
      </c>
      <c r="M17" s="55"/>
      <c r="N17" s="56"/>
      <c r="O17" s="57"/>
      <c r="P17" s="58">
        <f>+P14</f>
        <v>100602</v>
      </c>
    </row>
    <row r="24" spans="1:16" x14ac:dyDescent="0.2">
      <c r="H24" s="94"/>
    </row>
  </sheetData>
  <mergeCells count="8">
    <mergeCell ref="M8:P8"/>
    <mergeCell ref="I8:L8"/>
    <mergeCell ref="A14:C17"/>
    <mergeCell ref="D3:D4"/>
    <mergeCell ref="D6:F6"/>
    <mergeCell ref="A8:A9"/>
    <mergeCell ref="B8:D8"/>
    <mergeCell ref="E8:H8"/>
  </mergeCells>
  <phoneticPr fontId="25" type="noConversion"/>
  <pageMargins left="0.7" right="0.7" top="0.75" bottom="0.75" header="0.3" footer="0.3"/>
  <pageSetup scale="44" fitToHeight="0" orientation="landscape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E0EDC-BED1-4A5D-9FA2-2D9CFC1EC48E}">
  <dimension ref="A1"/>
  <sheetViews>
    <sheetView topLeftCell="A4" workbookViewId="0">
      <selection activeCell="W9" sqref="W9"/>
    </sheetView>
  </sheetViews>
  <sheetFormatPr baseColWidth="10" defaultRowHeight="15" x14ac:dyDescent="0.2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326DA-4EB5-427B-87E2-153967734B40}">
  <dimension ref="A1"/>
  <sheetViews>
    <sheetView topLeftCell="A16" zoomScale="166" zoomScaleNormal="166" workbookViewId="0">
      <selection activeCell="K4" sqref="K4"/>
    </sheetView>
  </sheetViews>
  <sheetFormatPr baseColWidth="10" defaultRowHeight="15" x14ac:dyDescent="0.2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FFDB1-F0D4-47D1-8D67-95E94A497200}">
  <dimension ref="A1"/>
  <sheetViews>
    <sheetView topLeftCell="A4" workbookViewId="0">
      <selection activeCell="A3" sqref="A3"/>
    </sheetView>
  </sheetViews>
  <sheetFormatPr baseColWidth="10" defaultRowHeight="1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Comparativo</vt:lpstr>
      <vt:lpstr>Tabla Evaluación</vt:lpstr>
      <vt:lpstr>Hoja1</vt:lpstr>
      <vt:lpstr>Hoja7</vt:lpstr>
      <vt:lpstr>LUMIRA </vt:lpstr>
      <vt:lpstr>ENSALUD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Torres</dc:creator>
  <cp:lastModifiedBy>David Santiago Donneys Taborda</cp:lastModifiedBy>
  <cp:lastPrinted>2025-07-16T17:49:08Z</cp:lastPrinted>
  <dcterms:created xsi:type="dcterms:W3CDTF">2025-05-28T20:30:36Z</dcterms:created>
  <dcterms:modified xsi:type="dcterms:W3CDTF">2026-03-26T02:16:00Z</dcterms:modified>
</cp:coreProperties>
</file>